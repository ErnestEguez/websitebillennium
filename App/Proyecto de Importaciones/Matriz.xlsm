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nniumweb2026\Proyecto de Importaciones\"/>
    </mc:Choice>
  </mc:AlternateContent>
  <bookViews>
    <workbookView xWindow="-120" yWindow="-120" windowWidth="19440" windowHeight="11640" tabRatio="545" firstSheet="1" activeTab="5"/>
  </bookViews>
  <sheets>
    <sheet name="Aranceles" sheetId="46" r:id="rId1"/>
    <sheet name="Matriz" sheetId="23" r:id="rId2"/>
    <sheet name="Riel-2" sheetId="45" r:id="rId3"/>
    <sheet name="riel 1" sheetId="48" r:id="rId4"/>
    <sheet name="PUSH METALIZADO" sheetId="41" r:id="rId5"/>
    <sheet name="CERR-POMO 2" sheetId="51" r:id="rId6"/>
    <sheet name="ESPEJOS-2" sheetId="47" r:id="rId7"/>
    <sheet name="no borrar" sheetId="54" r:id="rId8"/>
  </sheets>
  <definedNames>
    <definedName name="Aranceles" comment="Tabla de Aranceles">Aranceles!$B$2:$D$3262</definedName>
    <definedName name="_xlnm.Print_Area" localSheetId="5">'CERR-POMO 2'!$C$13</definedName>
    <definedName name="_xlnm.Print_Area" localSheetId="6">'ESPEJOS-2'!$C$13</definedName>
    <definedName name="_xlnm.Print_Area" localSheetId="1">Matriz!$C$13</definedName>
    <definedName name="_xlnm.Print_Area" localSheetId="3">'riel 1'!$C$13</definedName>
    <definedName name="_xlnm.Print_Area" localSheetId="2">'Riel-2'!$C$13</definedName>
    <definedName name="Tasa_IVA" localSheetId="5">'CERR-POMO 2'!$B$10</definedName>
    <definedName name="Tasa_IVA" localSheetId="6">'ESPEJOS-2'!$B$10</definedName>
    <definedName name="Tasa_IVA" localSheetId="4">'PUSH METALIZADO'!$B$10</definedName>
    <definedName name="Tasa_IVA" localSheetId="3">'riel 1'!$B$10</definedName>
    <definedName name="Tasa_IVA" localSheetId="2">'Riel-2'!$B$10</definedName>
    <definedName name="Tasa_IVA">Matriz!$B$10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21" i="23" l="1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20" i="23"/>
  <c r="AC52" i="23"/>
  <c r="AA52" i="23"/>
  <c r="Z52" i="23"/>
  <c r="T52" i="23"/>
  <c r="K52" i="23"/>
  <c r="J52" i="23"/>
  <c r="E52" i="23"/>
  <c r="AD51" i="23"/>
  <c r="AB51" i="23"/>
  <c r="AA51" i="23"/>
  <c r="Z51" i="23"/>
  <c r="Y51" i="23"/>
  <c r="X51" i="23"/>
  <c r="V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F51" i="23"/>
  <c r="D51" i="23"/>
  <c r="AD50" i="23"/>
  <c r="AB50" i="23"/>
  <c r="AA50" i="23"/>
  <c r="Z50" i="23"/>
  <c r="Y50" i="23"/>
  <c r="X50" i="23"/>
  <c r="V50" i="23"/>
  <c r="S50" i="23"/>
  <c r="R50" i="23"/>
  <c r="Q50" i="23"/>
  <c r="P50" i="23"/>
  <c r="O50" i="23"/>
  <c r="N50" i="23"/>
  <c r="M50" i="23"/>
  <c r="L50" i="23"/>
  <c r="K50" i="23"/>
  <c r="J50" i="23"/>
  <c r="I50" i="23"/>
  <c r="H50" i="23"/>
  <c r="F50" i="23"/>
  <c r="D50" i="23"/>
  <c r="AD49" i="23"/>
  <c r="AB49" i="23"/>
  <c r="AA49" i="23"/>
  <c r="Z49" i="23"/>
  <c r="Y49" i="23"/>
  <c r="X49" i="23"/>
  <c r="V49" i="23"/>
  <c r="S49" i="23"/>
  <c r="R49" i="23"/>
  <c r="Q49" i="23"/>
  <c r="P49" i="23"/>
  <c r="O49" i="23"/>
  <c r="N49" i="23"/>
  <c r="M49" i="23"/>
  <c r="L49" i="23"/>
  <c r="K49" i="23"/>
  <c r="J49" i="23"/>
  <c r="I49" i="23"/>
  <c r="H49" i="23"/>
  <c r="F49" i="23"/>
  <c r="D49" i="23"/>
  <c r="AD48" i="23"/>
  <c r="AB48" i="23"/>
  <c r="AA48" i="23"/>
  <c r="Z48" i="23"/>
  <c r="Y48" i="23"/>
  <c r="X48" i="23"/>
  <c r="V48" i="23"/>
  <c r="S48" i="23"/>
  <c r="R48" i="23"/>
  <c r="Q48" i="23"/>
  <c r="P48" i="23"/>
  <c r="O48" i="23"/>
  <c r="N48" i="23"/>
  <c r="M48" i="23"/>
  <c r="L48" i="23"/>
  <c r="K48" i="23"/>
  <c r="J48" i="23"/>
  <c r="I48" i="23"/>
  <c r="H48" i="23"/>
  <c r="F48" i="23"/>
  <c r="D48" i="23"/>
  <c r="AD47" i="23"/>
  <c r="AB47" i="23"/>
  <c r="AA47" i="23"/>
  <c r="Z47" i="23"/>
  <c r="Y47" i="23"/>
  <c r="X47" i="23"/>
  <c r="V47" i="23"/>
  <c r="S47" i="23"/>
  <c r="R47" i="23"/>
  <c r="Q47" i="23"/>
  <c r="P47" i="23"/>
  <c r="O47" i="23"/>
  <c r="N47" i="23"/>
  <c r="M47" i="23"/>
  <c r="L47" i="23"/>
  <c r="K47" i="23"/>
  <c r="J47" i="23"/>
  <c r="I47" i="23"/>
  <c r="H47" i="23"/>
  <c r="F47" i="23"/>
  <c r="D47" i="23"/>
  <c r="AD46" i="23"/>
  <c r="AB46" i="23"/>
  <c r="AA46" i="23"/>
  <c r="Z46" i="23"/>
  <c r="Y46" i="23"/>
  <c r="X46" i="23"/>
  <c r="V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F46" i="23"/>
  <c r="D46" i="23"/>
  <c r="AD45" i="23"/>
  <c r="AB45" i="23"/>
  <c r="AA45" i="23"/>
  <c r="Z45" i="23"/>
  <c r="Y45" i="23"/>
  <c r="X45" i="23"/>
  <c r="V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F45" i="23"/>
  <c r="D45" i="23"/>
  <c r="AD44" i="23"/>
  <c r="AB44" i="23"/>
  <c r="AA44" i="23"/>
  <c r="Z44" i="23"/>
  <c r="Y44" i="23"/>
  <c r="X44" i="23"/>
  <c r="V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F44" i="23"/>
  <c r="D44" i="23"/>
  <c r="AD43" i="23"/>
  <c r="AB43" i="23"/>
  <c r="AA43" i="23"/>
  <c r="Z43" i="23"/>
  <c r="Y43" i="23"/>
  <c r="X43" i="23"/>
  <c r="V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F43" i="23"/>
  <c r="D43" i="23"/>
  <c r="AD42" i="23"/>
  <c r="AB42" i="23"/>
  <c r="AA42" i="23"/>
  <c r="Z42" i="23"/>
  <c r="Y42" i="23"/>
  <c r="X42" i="23"/>
  <c r="V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F42" i="23"/>
  <c r="D42" i="23"/>
  <c r="AD41" i="23"/>
  <c r="AB41" i="23"/>
  <c r="AA41" i="23"/>
  <c r="Z41" i="23"/>
  <c r="Y41" i="23"/>
  <c r="X41" i="23"/>
  <c r="V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F41" i="23"/>
  <c r="D41" i="23"/>
  <c r="AD40" i="23"/>
  <c r="AB40" i="23"/>
  <c r="AA40" i="23"/>
  <c r="Z40" i="23"/>
  <c r="Y40" i="23"/>
  <c r="X40" i="23"/>
  <c r="V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F40" i="23"/>
  <c r="D40" i="23"/>
  <c r="AD39" i="23"/>
  <c r="AB39" i="23"/>
  <c r="AA39" i="23"/>
  <c r="Z39" i="23"/>
  <c r="Y39" i="23"/>
  <c r="X39" i="23"/>
  <c r="V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F39" i="23"/>
  <c r="D39" i="23"/>
  <c r="AD38" i="23"/>
  <c r="AB38" i="23"/>
  <c r="AA38" i="23"/>
  <c r="Z38" i="23"/>
  <c r="Y38" i="23"/>
  <c r="X38" i="23"/>
  <c r="V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F38" i="23"/>
  <c r="D38" i="23"/>
  <c r="AD37" i="23"/>
  <c r="AB37" i="23"/>
  <c r="AA37" i="23"/>
  <c r="Z37" i="23"/>
  <c r="Y37" i="23"/>
  <c r="X37" i="23"/>
  <c r="V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F37" i="23"/>
  <c r="D37" i="23"/>
  <c r="AD36" i="23"/>
  <c r="AB36" i="23"/>
  <c r="AA36" i="23"/>
  <c r="Z36" i="23"/>
  <c r="Y36" i="23"/>
  <c r="X36" i="23"/>
  <c r="V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F36" i="23"/>
  <c r="D36" i="23"/>
  <c r="AD35" i="23"/>
  <c r="AB35" i="23"/>
  <c r="AA35" i="23"/>
  <c r="Z35" i="23"/>
  <c r="Y35" i="23"/>
  <c r="X35" i="23"/>
  <c r="V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F35" i="23"/>
  <c r="D35" i="23"/>
  <c r="AD34" i="23"/>
  <c r="AB34" i="23"/>
  <c r="AA34" i="23"/>
  <c r="Z34" i="23"/>
  <c r="Y34" i="23"/>
  <c r="X34" i="23"/>
  <c r="V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F34" i="23"/>
  <c r="D34" i="23"/>
  <c r="AD33" i="23"/>
  <c r="AB33" i="23"/>
  <c r="AA33" i="23"/>
  <c r="Z33" i="23"/>
  <c r="Y33" i="23"/>
  <c r="X33" i="23"/>
  <c r="V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F33" i="23"/>
  <c r="D33" i="23"/>
  <c r="AD32" i="23"/>
  <c r="AB32" i="23"/>
  <c r="AA32" i="23"/>
  <c r="Z32" i="23"/>
  <c r="Y32" i="23"/>
  <c r="X32" i="23"/>
  <c r="V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F32" i="23"/>
  <c r="D32" i="23"/>
  <c r="AD31" i="23"/>
  <c r="AB31" i="23"/>
  <c r="AA31" i="23"/>
  <c r="Z31" i="23"/>
  <c r="Y31" i="23"/>
  <c r="X31" i="23"/>
  <c r="V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F31" i="23"/>
  <c r="D31" i="23"/>
  <c r="AD30" i="23"/>
  <c r="AB30" i="23"/>
  <c r="AA30" i="23"/>
  <c r="Z30" i="23"/>
  <c r="Y30" i="23"/>
  <c r="X30" i="23"/>
  <c r="V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F30" i="23"/>
  <c r="D30" i="23"/>
  <c r="AD29" i="23"/>
  <c r="AB29" i="23"/>
  <c r="AA29" i="23"/>
  <c r="Z29" i="23"/>
  <c r="Y29" i="23"/>
  <c r="X29" i="23"/>
  <c r="V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F29" i="23"/>
  <c r="D29" i="23"/>
  <c r="AD28" i="23"/>
  <c r="AB28" i="23"/>
  <c r="AA28" i="23"/>
  <c r="Z28" i="23"/>
  <c r="Y28" i="23"/>
  <c r="X28" i="23"/>
  <c r="V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F28" i="23"/>
  <c r="D28" i="23"/>
  <c r="AD27" i="23"/>
  <c r="AB27" i="23"/>
  <c r="AA27" i="23"/>
  <c r="Z27" i="23"/>
  <c r="Y27" i="23"/>
  <c r="X27" i="23"/>
  <c r="V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F27" i="23"/>
  <c r="D27" i="23"/>
  <c r="AD26" i="23"/>
  <c r="AB26" i="23"/>
  <c r="AA26" i="23"/>
  <c r="Z26" i="23"/>
  <c r="Y26" i="23"/>
  <c r="X26" i="23"/>
  <c r="V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F26" i="23"/>
  <c r="D26" i="23"/>
  <c r="AD25" i="23"/>
  <c r="AB25" i="23"/>
  <c r="AA25" i="23"/>
  <c r="Z25" i="23"/>
  <c r="Y25" i="23"/>
  <c r="X25" i="23"/>
  <c r="V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F25" i="23"/>
  <c r="D25" i="23"/>
  <c r="AD24" i="23"/>
  <c r="AB24" i="23"/>
  <c r="AA24" i="23"/>
  <c r="Z24" i="23"/>
  <c r="Y24" i="23"/>
  <c r="X24" i="23"/>
  <c r="V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F24" i="23"/>
  <c r="D24" i="23"/>
  <c r="AD23" i="23"/>
  <c r="AB23" i="23"/>
  <c r="AA23" i="23"/>
  <c r="Z23" i="23"/>
  <c r="Y23" i="23"/>
  <c r="X23" i="23"/>
  <c r="V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F23" i="23"/>
  <c r="D23" i="23"/>
  <c r="AD22" i="23"/>
  <c r="AB22" i="23"/>
  <c r="AA22" i="23"/>
  <c r="Z22" i="23"/>
  <c r="Y22" i="23"/>
  <c r="X22" i="23"/>
  <c r="V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F22" i="23"/>
  <c r="D22" i="23"/>
  <c r="AD21" i="23"/>
  <c r="AB21" i="23"/>
  <c r="AA21" i="23"/>
  <c r="Z21" i="23"/>
  <c r="Y21" i="23"/>
  <c r="X21" i="23"/>
  <c r="V21" i="23"/>
  <c r="S21" i="23"/>
  <c r="R21" i="23"/>
  <c r="Q21" i="23"/>
  <c r="P21" i="23"/>
  <c r="P52" i="23" s="1"/>
  <c r="O21" i="23"/>
  <c r="N21" i="23"/>
  <c r="M21" i="23"/>
  <c r="L21" i="23"/>
  <c r="L52" i="23" s="1"/>
  <c r="K21" i="23"/>
  <c r="J21" i="23"/>
  <c r="I21" i="23"/>
  <c r="H21" i="23"/>
  <c r="H52" i="23" s="1"/>
  <c r="B4" i="23" s="1"/>
  <c r="B17" i="23" s="1"/>
  <c r="F21" i="23"/>
  <c r="D21" i="23"/>
  <c r="AD20" i="23"/>
  <c r="AB20" i="23"/>
  <c r="AB52" i="23" s="1"/>
  <c r="AD52" i="23" s="1"/>
  <c r="AA20" i="23"/>
  <c r="Z20" i="23"/>
  <c r="Y20" i="23"/>
  <c r="X20" i="23"/>
  <c r="X52" i="23" s="1"/>
  <c r="V20" i="23"/>
  <c r="S20" i="23"/>
  <c r="R20" i="23"/>
  <c r="Q20" i="23"/>
  <c r="Q52" i="23" s="1"/>
  <c r="P20" i="23"/>
  <c r="O20" i="23"/>
  <c r="N20" i="23"/>
  <c r="M20" i="23"/>
  <c r="M52" i="23" s="1"/>
  <c r="L20" i="23"/>
  <c r="K20" i="23"/>
  <c r="J20" i="23"/>
  <c r="I20" i="23"/>
  <c r="I52" i="23" s="1"/>
  <c r="H20" i="23"/>
  <c r="F20" i="23"/>
  <c r="F52" i="23" s="1"/>
  <c r="D20" i="23"/>
  <c r="D52" i="23" s="1"/>
  <c r="B16" i="23"/>
  <c r="I15" i="23"/>
  <c r="J52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I52" i="51"/>
  <c r="Z21" i="51"/>
  <c r="Z22" i="51"/>
  <c r="Z23" i="51"/>
  <c r="Z24" i="51"/>
  <c r="Z25" i="51"/>
  <c r="Z26" i="51"/>
  <c r="Z27" i="51"/>
  <c r="Z28" i="51"/>
  <c r="Z29" i="51"/>
  <c r="Z30" i="51"/>
  <c r="Z31" i="51"/>
  <c r="Z32" i="51"/>
  <c r="Z33" i="51"/>
  <c r="Z34" i="51"/>
  <c r="Z35" i="51"/>
  <c r="Z36" i="51"/>
  <c r="Z37" i="51"/>
  <c r="Z38" i="51"/>
  <c r="Z39" i="51"/>
  <c r="Z40" i="51"/>
  <c r="Z41" i="51"/>
  <c r="Z42" i="51"/>
  <c r="Z43" i="51"/>
  <c r="Z44" i="51"/>
  <c r="Z45" i="51"/>
  <c r="Z46" i="51"/>
  <c r="Z47" i="51"/>
  <c r="Z48" i="51"/>
  <c r="Z49" i="51"/>
  <c r="Z50" i="51"/>
  <c r="Z51" i="51"/>
  <c r="Z20" i="51"/>
  <c r="Z52" i="51"/>
  <c r="T51" i="51"/>
  <c r="T38" i="51"/>
  <c r="T39" i="51"/>
  <c r="T40" i="51"/>
  <c r="T41" i="51"/>
  <c r="T42" i="51"/>
  <c r="T43" i="51"/>
  <c r="T44" i="51"/>
  <c r="T45" i="51"/>
  <c r="T46" i="51"/>
  <c r="T47" i="51"/>
  <c r="T48" i="51"/>
  <c r="T49" i="51"/>
  <c r="T50" i="51"/>
  <c r="AA38" i="51"/>
  <c r="AA39" i="51"/>
  <c r="AA40" i="51"/>
  <c r="AA41" i="51"/>
  <c r="AA42" i="51"/>
  <c r="AA43" i="51"/>
  <c r="AA44" i="51"/>
  <c r="AA45" i="51"/>
  <c r="AA46" i="51"/>
  <c r="AA47" i="51"/>
  <c r="AA48" i="51"/>
  <c r="AA49" i="51"/>
  <c r="AA50" i="51"/>
  <c r="AA51" i="51"/>
  <c r="AA52" i="51"/>
  <c r="K52" i="51"/>
  <c r="J38" i="51"/>
  <c r="K38" i="51"/>
  <c r="L38" i="51"/>
  <c r="M38" i="51"/>
  <c r="N38" i="51"/>
  <c r="O38" i="51"/>
  <c r="Q38" i="51"/>
  <c r="R38" i="51"/>
  <c r="S38" i="51"/>
  <c r="V38" i="51"/>
  <c r="X38" i="51"/>
  <c r="Y38" i="51"/>
  <c r="AB38" i="51"/>
  <c r="AD38" i="51"/>
  <c r="J39" i="51"/>
  <c r="K39" i="51"/>
  <c r="L39" i="51"/>
  <c r="M39" i="51"/>
  <c r="N39" i="51"/>
  <c r="O39" i="51"/>
  <c r="Q39" i="51"/>
  <c r="R39" i="51"/>
  <c r="S39" i="51"/>
  <c r="V39" i="51"/>
  <c r="X39" i="51"/>
  <c r="Y39" i="51"/>
  <c r="AB39" i="51"/>
  <c r="AD39" i="51"/>
  <c r="J40" i="51"/>
  <c r="K40" i="51"/>
  <c r="L40" i="51"/>
  <c r="M40" i="51"/>
  <c r="N40" i="51"/>
  <c r="O40" i="51"/>
  <c r="Q40" i="51"/>
  <c r="R40" i="51"/>
  <c r="S40" i="51"/>
  <c r="V40" i="51"/>
  <c r="X40" i="51"/>
  <c r="Y40" i="51"/>
  <c r="AB40" i="51"/>
  <c r="AD40" i="51"/>
  <c r="J41" i="51"/>
  <c r="K41" i="51"/>
  <c r="L41" i="51"/>
  <c r="M41" i="51"/>
  <c r="N41" i="51"/>
  <c r="O41" i="51"/>
  <c r="Q41" i="51"/>
  <c r="R41" i="51"/>
  <c r="S41" i="51"/>
  <c r="V41" i="51"/>
  <c r="X41" i="51"/>
  <c r="Y41" i="51"/>
  <c r="AB41" i="51"/>
  <c r="AD41" i="51"/>
  <c r="J42" i="51"/>
  <c r="K42" i="51"/>
  <c r="L42" i="51"/>
  <c r="M42" i="51"/>
  <c r="N42" i="51"/>
  <c r="O42" i="51"/>
  <c r="Q42" i="51"/>
  <c r="R42" i="51"/>
  <c r="S42" i="51"/>
  <c r="V42" i="51"/>
  <c r="X42" i="51"/>
  <c r="Y42" i="51"/>
  <c r="AB42" i="51"/>
  <c r="AD42" i="51"/>
  <c r="J43" i="51"/>
  <c r="K43" i="51"/>
  <c r="L43" i="51"/>
  <c r="M43" i="51"/>
  <c r="N43" i="51"/>
  <c r="O43" i="51"/>
  <c r="Q43" i="51"/>
  <c r="R43" i="51"/>
  <c r="S43" i="51"/>
  <c r="V43" i="51"/>
  <c r="X43" i="51"/>
  <c r="Y43" i="51"/>
  <c r="AB43" i="51"/>
  <c r="AD43" i="51"/>
  <c r="J44" i="51"/>
  <c r="K44" i="51"/>
  <c r="L44" i="51"/>
  <c r="M44" i="51"/>
  <c r="N44" i="51"/>
  <c r="O44" i="51"/>
  <c r="Q44" i="51"/>
  <c r="R44" i="51"/>
  <c r="S44" i="51"/>
  <c r="V44" i="51"/>
  <c r="X44" i="51"/>
  <c r="Y44" i="51"/>
  <c r="AB44" i="51"/>
  <c r="AD44" i="51"/>
  <c r="J45" i="51"/>
  <c r="K45" i="51"/>
  <c r="L45" i="51"/>
  <c r="M45" i="51"/>
  <c r="N45" i="51"/>
  <c r="O45" i="51"/>
  <c r="Q45" i="51"/>
  <c r="R45" i="51"/>
  <c r="S45" i="51"/>
  <c r="V45" i="51"/>
  <c r="X45" i="51"/>
  <c r="Y45" i="51"/>
  <c r="AB45" i="51"/>
  <c r="AD45" i="51"/>
  <c r="J46" i="51"/>
  <c r="K46" i="51"/>
  <c r="L46" i="51"/>
  <c r="M46" i="51"/>
  <c r="N46" i="51"/>
  <c r="O46" i="51"/>
  <c r="Q46" i="51"/>
  <c r="R46" i="51"/>
  <c r="S46" i="51"/>
  <c r="V46" i="51"/>
  <c r="X46" i="51"/>
  <c r="Y46" i="51"/>
  <c r="AB46" i="51"/>
  <c r="AD46" i="51"/>
  <c r="J47" i="51"/>
  <c r="K47" i="51"/>
  <c r="L47" i="51"/>
  <c r="M47" i="51"/>
  <c r="N47" i="51"/>
  <c r="O47" i="51"/>
  <c r="Q47" i="51"/>
  <c r="R47" i="51"/>
  <c r="S47" i="51"/>
  <c r="V47" i="51"/>
  <c r="X47" i="51"/>
  <c r="Y47" i="51"/>
  <c r="AB47" i="51"/>
  <c r="AD47" i="51"/>
  <c r="J48" i="51"/>
  <c r="K48" i="51"/>
  <c r="L48" i="51"/>
  <c r="M48" i="51"/>
  <c r="N48" i="51"/>
  <c r="O48" i="51"/>
  <c r="Q48" i="51"/>
  <c r="R48" i="51"/>
  <c r="S48" i="51"/>
  <c r="V48" i="51"/>
  <c r="X48" i="51"/>
  <c r="Y48" i="51"/>
  <c r="AB48" i="51"/>
  <c r="AD48" i="51"/>
  <c r="J49" i="51"/>
  <c r="K49" i="51"/>
  <c r="L49" i="51"/>
  <c r="M49" i="51"/>
  <c r="N49" i="51"/>
  <c r="O49" i="51"/>
  <c r="Q49" i="51"/>
  <c r="R49" i="51"/>
  <c r="S49" i="51"/>
  <c r="V49" i="51"/>
  <c r="X49" i="51"/>
  <c r="Y49" i="51"/>
  <c r="AB49" i="51"/>
  <c r="AD49" i="51"/>
  <c r="J50" i="51"/>
  <c r="K50" i="51"/>
  <c r="L50" i="51"/>
  <c r="M50" i="51"/>
  <c r="N50" i="51"/>
  <c r="O50" i="51"/>
  <c r="Q50" i="51"/>
  <c r="R50" i="51"/>
  <c r="S50" i="51"/>
  <c r="V50" i="51"/>
  <c r="X50" i="51"/>
  <c r="Y50" i="51"/>
  <c r="AB50" i="51"/>
  <c r="AD50" i="51"/>
  <c r="J51" i="51"/>
  <c r="K51" i="51"/>
  <c r="L51" i="51"/>
  <c r="M51" i="51"/>
  <c r="N51" i="51"/>
  <c r="O51" i="51"/>
  <c r="Q51" i="51"/>
  <c r="R51" i="51"/>
  <c r="S51" i="51"/>
  <c r="V51" i="51"/>
  <c r="X51" i="51"/>
  <c r="Y51" i="51"/>
  <c r="AB51" i="51"/>
  <c r="AD51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35" i="51"/>
  <c r="H36" i="51"/>
  <c r="H37" i="51"/>
  <c r="H38" i="51"/>
  <c r="I38" i="51"/>
  <c r="H39" i="51"/>
  <c r="I39" i="51"/>
  <c r="H40" i="51"/>
  <c r="I40" i="51"/>
  <c r="H41" i="51"/>
  <c r="I41" i="51"/>
  <c r="H42" i="51"/>
  <c r="I42" i="51"/>
  <c r="H43" i="51"/>
  <c r="I43" i="51"/>
  <c r="H44" i="51"/>
  <c r="I44" i="51"/>
  <c r="H45" i="51"/>
  <c r="I45" i="51"/>
  <c r="H46" i="51"/>
  <c r="I46" i="51"/>
  <c r="H47" i="51"/>
  <c r="I47" i="51"/>
  <c r="H48" i="51"/>
  <c r="I48" i="51"/>
  <c r="H49" i="51"/>
  <c r="I49" i="51"/>
  <c r="H50" i="51"/>
  <c r="I50" i="51"/>
  <c r="H51" i="51"/>
  <c r="I51" i="51"/>
  <c r="H20" i="51"/>
  <c r="AC52" i="51"/>
  <c r="E52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F20" i="51"/>
  <c r="B16" i="51"/>
  <c r="I15" i="51"/>
  <c r="T32" i="47"/>
  <c r="T33" i="47"/>
  <c r="T34" i="47"/>
  <c r="T35" i="47"/>
  <c r="T36" i="47"/>
  <c r="T37" i="47"/>
  <c r="AD32" i="47"/>
  <c r="AD33" i="47"/>
  <c r="AD34" i="47"/>
  <c r="AD35" i="47"/>
  <c r="AD36" i="47"/>
  <c r="AD37" i="47"/>
  <c r="AB32" i="47"/>
  <c r="AB33" i="47"/>
  <c r="AB34" i="47"/>
  <c r="AB35" i="47"/>
  <c r="AB36" i="47"/>
  <c r="AB37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E38" i="48"/>
  <c r="AA37" i="48"/>
  <c r="Z37" i="48"/>
  <c r="Y37" i="48"/>
  <c r="X37" i="48"/>
  <c r="V37" i="48"/>
  <c r="T37" i="48"/>
  <c r="S37" i="48"/>
  <c r="R37" i="48"/>
  <c r="Q37" i="48"/>
  <c r="P37" i="48"/>
  <c r="O37" i="48"/>
  <c r="N37" i="48"/>
  <c r="M37" i="48"/>
  <c r="L37" i="48"/>
  <c r="K37" i="48"/>
  <c r="J37" i="48"/>
  <c r="I37" i="48"/>
  <c r="H37" i="48"/>
  <c r="F37" i="48"/>
  <c r="D37" i="48"/>
  <c r="AA36" i="48"/>
  <c r="Z36" i="48"/>
  <c r="Y36" i="48"/>
  <c r="X36" i="48"/>
  <c r="V36" i="48"/>
  <c r="T36" i="48"/>
  <c r="S36" i="48"/>
  <c r="R36" i="48"/>
  <c r="Q36" i="48"/>
  <c r="P36" i="48"/>
  <c r="O36" i="48"/>
  <c r="N36" i="48"/>
  <c r="M36" i="48"/>
  <c r="L36" i="48"/>
  <c r="K36" i="48"/>
  <c r="J36" i="48"/>
  <c r="I36" i="48"/>
  <c r="H36" i="48"/>
  <c r="F36" i="48"/>
  <c r="D36" i="48"/>
  <c r="Z35" i="48"/>
  <c r="H35" i="48"/>
  <c r="F35" i="48"/>
  <c r="Z34" i="48"/>
  <c r="H34" i="48"/>
  <c r="F34" i="48"/>
  <c r="Z33" i="48"/>
  <c r="H33" i="48"/>
  <c r="Z32" i="48"/>
  <c r="H32" i="48"/>
  <c r="F32" i="48"/>
  <c r="Z31" i="48"/>
  <c r="H31" i="48"/>
  <c r="F31" i="48"/>
  <c r="Z30" i="48"/>
  <c r="H30" i="48"/>
  <c r="F30" i="48"/>
  <c r="Z29" i="48"/>
  <c r="H29" i="48"/>
  <c r="F29" i="48"/>
  <c r="Z28" i="48"/>
  <c r="H28" i="48"/>
  <c r="Z27" i="48"/>
  <c r="H27" i="48"/>
  <c r="Z26" i="48"/>
  <c r="H26" i="48"/>
  <c r="Z25" i="48"/>
  <c r="H25" i="48"/>
  <c r="Z24" i="48"/>
  <c r="H24" i="48"/>
  <c r="Z23" i="48"/>
  <c r="H23" i="48"/>
  <c r="F23" i="48"/>
  <c r="Z22" i="48"/>
  <c r="H22" i="48"/>
  <c r="F22" i="48"/>
  <c r="Z21" i="48"/>
  <c r="H21" i="48"/>
  <c r="F21" i="48"/>
  <c r="Z20" i="48"/>
  <c r="H20" i="48"/>
  <c r="F20" i="48"/>
  <c r="F38" i="48" s="1"/>
  <c r="B16" i="48"/>
  <c r="J15" i="48"/>
  <c r="I15" i="48"/>
  <c r="AA33" i="47"/>
  <c r="AA34" i="47"/>
  <c r="AA35" i="47"/>
  <c r="AA36" i="47"/>
  <c r="AA37" i="47"/>
  <c r="Z20" i="47"/>
  <c r="Z21" i="47"/>
  <c r="Z22" i="47"/>
  <c r="Z23" i="47"/>
  <c r="Z24" i="47"/>
  <c r="Z25" i="47"/>
  <c r="Z26" i="47"/>
  <c r="Z27" i="47"/>
  <c r="Z28" i="47"/>
  <c r="Z29" i="47"/>
  <c r="Z30" i="47"/>
  <c r="Z31" i="47"/>
  <c r="Z32" i="47"/>
  <c r="Z33" i="47"/>
  <c r="Z34" i="47"/>
  <c r="Z35" i="47"/>
  <c r="Z36" i="47"/>
  <c r="Z37" i="47"/>
  <c r="Q33" i="47"/>
  <c r="Q34" i="47"/>
  <c r="Q35" i="47"/>
  <c r="Q36" i="47"/>
  <c r="Q37" i="47"/>
  <c r="Y33" i="47"/>
  <c r="Y34" i="47"/>
  <c r="Y35" i="47"/>
  <c r="Y36" i="47"/>
  <c r="Y37" i="47"/>
  <c r="X33" i="47"/>
  <c r="X34" i="47"/>
  <c r="X35" i="47"/>
  <c r="X36" i="47"/>
  <c r="X37" i="47"/>
  <c r="V33" i="47"/>
  <c r="V34" i="47"/>
  <c r="V35" i="47"/>
  <c r="V36" i="47"/>
  <c r="V37" i="47"/>
  <c r="S33" i="47"/>
  <c r="S34" i="47"/>
  <c r="S35" i="47"/>
  <c r="S36" i="47"/>
  <c r="S37" i="47"/>
  <c r="R33" i="47"/>
  <c r="R34" i="47"/>
  <c r="R35" i="47"/>
  <c r="R36" i="47"/>
  <c r="R37" i="47"/>
  <c r="E38" i="47"/>
  <c r="P37" i="47"/>
  <c r="O37" i="47"/>
  <c r="N37" i="47"/>
  <c r="M37" i="47"/>
  <c r="L37" i="47"/>
  <c r="K37" i="47"/>
  <c r="J37" i="47"/>
  <c r="I37" i="47"/>
  <c r="H37" i="47"/>
  <c r="D37" i="47"/>
  <c r="P36" i="47"/>
  <c r="O36" i="47"/>
  <c r="N36" i="47"/>
  <c r="M36" i="47"/>
  <c r="L36" i="47"/>
  <c r="K36" i="47"/>
  <c r="J36" i="47"/>
  <c r="I36" i="47"/>
  <c r="H36" i="47"/>
  <c r="D36" i="47"/>
  <c r="P35" i="47"/>
  <c r="O35" i="47"/>
  <c r="N35" i="47"/>
  <c r="M35" i="47"/>
  <c r="L35" i="47"/>
  <c r="K35" i="47"/>
  <c r="J35" i="47"/>
  <c r="I35" i="47"/>
  <c r="H35" i="47"/>
  <c r="D35" i="47"/>
  <c r="P34" i="47"/>
  <c r="O34" i="47"/>
  <c r="N34" i="47"/>
  <c r="M34" i="47"/>
  <c r="L34" i="47"/>
  <c r="K34" i="47"/>
  <c r="J34" i="47"/>
  <c r="I34" i="47"/>
  <c r="H34" i="47"/>
  <c r="D34" i="47"/>
  <c r="P33" i="47"/>
  <c r="O33" i="47"/>
  <c r="N33" i="47"/>
  <c r="M33" i="47"/>
  <c r="L33" i="47"/>
  <c r="K33" i="47"/>
  <c r="J33" i="47"/>
  <c r="I33" i="47"/>
  <c r="H33" i="47"/>
  <c r="D33" i="47"/>
  <c r="H32" i="47"/>
  <c r="H31" i="47"/>
  <c r="H30" i="47"/>
  <c r="H29" i="47"/>
  <c r="H28" i="47"/>
  <c r="H27" i="47"/>
  <c r="H26" i="47"/>
  <c r="H25" i="47"/>
  <c r="H24" i="47"/>
  <c r="H23" i="47"/>
  <c r="H22" i="47"/>
  <c r="H21" i="47"/>
  <c r="H20" i="47"/>
  <c r="F20" i="47"/>
  <c r="B16" i="47"/>
  <c r="J15" i="47"/>
  <c r="I15" i="47"/>
  <c r="N36" i="45"/>
  <c r="N37" i="45"/>
  <c r="E3901" i="46"/>
  <c r="E3900" i="46"/>
  <c r="E3899" i="46"/>
  <c r="E3898" i="46"/>
  <c r="E3897" i="46"/>
  <c r="E3896" i="46"/>
  <c r="E3895" i="46"/>
  <c r="E3894" i="46"/>
  <c r="E3893" i="46"/>
  <c r="E3892" i="46"/>
  <c r="E3891" i="46"/>
  <c r="E3890" i="46"/>
  <c r="E3889" i="46"/>
  <c r="E3888" i="46"/>
  <c r="E3887" i="46"/>
  <c r="E3886" i="46"/>
  <c r="E3885" i="46"/>
  <c r="E3884" i="46"/>
  <c r="E3883" i="46"/>
  <c r="E3882" i="46"/>
  <c r="E3881" i="46"/>
  <c r="E3880" i="46"/>
  <c r="E3879" i="46"/>
  <c r="E3878" i="46"/>
  <c r="E3877" i="46"/>
  <c r="E3876" i="46"/>
  <c r="E3875" i="46"/>
  <c r="E3874" i="46"/>
  <c r="E3873" i="46"/>
  <c r="E3872" i="46"/>
  <c r="E3871" i="46"/>
  <c r="E3870" i="46"/>
  <c r="E3869" i="46"/>
  <c r="E3868" i="46"/>
  <c r="E3867" i="46"/>
  <c r="E3866" i="46"/>
  <c r="E3865" i="46"/>
  <c r="E3864" i="46"/>
  <c r="E3863" i="46"/>
  <c r="E3862" i="46"/>
  <c r="E3861" i="46"/>
  <c r="E3860" i="46"/>
  <c r="E3859" i="46"/>
  <c r="E3858" i="46"/>
  <c r="E3857" i="46"/>
  <c r="E3856" i="46"/>
  <c r="E3855" i="46"/>
  <c r="E3854" i="46"/>
  <c r="E3853" i="46"/>
  <c r="E3852" i="46"/>
  <c r="E3851" i="46"/>
  <c r="E3850" i="46"/>
  <c r="E3849" i="46"/>
  <c r="E3848" i="46"/>
  <c r="E3847" i="46"/>
  <c r="E3846" i="46"/>
  <c r="E3845" i="46"/>
  <c r="E3844" i="46"/>
  <c r="E3843" i="46"/>
  <c r="E3842" i="46"/>
  <c r="E3841" i="46"/>
  <c r="E3840" i="46"/>
  <c r="E3839" i="46"/>
  <c r="E3838" i="46"/>
  <c r="E3837" i="46"/>
  <c r="E3836" i="46"/>
  <c r="E3835" i="46"/>
  <c r="E3834" i="46"/>
  <c r="E3833" i="46"/>
  <c r="E3832" i="46"/>
  <c r="E3831" i="46"/>
  <c r="E3830" i="46"/>
  <c r="E3829" i="46"/>
  <c r="E3828" i="46"/>
  <c r="E3827" i="46"/>
  <c r="E3826" i="46"/>
  <c r="E3825" i="46"/>
  <c r="E3824" i="46"/>
  <c r="E3823" i="46"/>
  <c r="E3822" i="46"/>
  <c r="E3821" i="46"/>
  <c r="E3820" i="46"/>
  <c r="E3819" i="46"/>
  <c r="E3818" i="46"/>
  <c r="E3817" i="46"/>
  <c r="E3816" i="46"/>
  <c r="E3815" i="46"/>
  <c r="E3814" i="46"/>
  <c r="E3813" i="46"/>
  <c r="E3812" i="46"/>
  <c r="E3811" i="46"/>
  <c r="E3810" i="46"/>
  <c r="E3809" i="46"/>
  <c r="E3808" i="46"/>
  <c r="E3807" i="46"/>
  <c r="E3806" i="46"/>
  <c r="E3805" i="46"/>
  <c r="E3804" i="46"/>
  <c r="E3803" i="46"/>
  <c r="E3802" i="46"/>
  <c r="E3801" i="46"/>
  <c r="E3800" i="46"/>
  <c r="E3799" i="46"/>
  <c r="E3798" i="46"/>
  <c r="E3797" i="46"/>
  <c r="E3796" i="46"/>
  <c r="E3795" i="46"/>
  <c r="E3794" i="46"/>
  <c r="E3793" i="46"/>
  <c r="E3792" i="46"/>
  <c r="E3791" i="46"/>
  <c r="E3790" i="46"/>
  <c r="E3789" i="46"/>
  <c r="E3788" i="46"/>
  <c r="E3787" i="46"/>
  <c r="E3786" i="46"/>
  <c r="E3785" i="46"/>
  <c r="E3784" i="46"/>
  <c r="E3783" i="46"/>
  <c r="E3782" i="46"/>
  <c r="E3781" i="46"/>
  <c r="E3780" i="46"/>
  <c r="E3779" i="46"/>
  <c r="E3778" i="46"/>
  <c r="E3777" i="46"/>
  <c r="E3776" i="46"/>
  <c r="E3775" i="46"/>
  <c r="E3774" i="46"/>
  <c r="E3773" i="46"/>
  <c r="E3772" i="46"/>
  <c r="E3771" i="46"/>
  <c r="E3770" i="46"/>
  <c r="E3769" i="46"/>
  <c r="E3768" i="46"/>
  <c r="E3767" i="46"/>
  <c r="E3766" i="46"/>
  <c r="E3765" i="46"/>
  <c r="E3764" i="46"/>
  <c r="E3763" i="46"/>
  <c r="E3762" i="46"/>
  <c r="E3761" i="46"/>
  <c r="E3760" i="46"/>
  <c r="E3759" i="46"/>
  <c r="E3758" i="46"/>
  <c r="E3757" i="46"/>
  <c r="E3756" i="46"/>
  <c r="E3755" i="46"/>
  <c r="E3754" i="46"/>
  <c r="E3753" i="46"/>
  <c r="E3752" i="46"/>
  <c r="E3751" i="46"/>
  <c r="E3750" i="46"/>
  <c r="E3749" i="46"/>
  <c r="E3748" i="46"/>
  <c r="E3747" i="46"/>
  <c r="E3746" i="46"/>
  <c r="E3745" i="46"/>
  <c r="E3744" i="46"/>
  <c r="E3743" i="46"/>
  <c r="E3742" i="46"/>
  <c r="E3741" i="46"/>
  <c r="E3740" i="46"/>
  <c r="E3739" i="46"/>
  <c r="E3738" i="46"/>
  <c r="E3737" i="46"/>
  <c r="E3736" i="46"/>
  <c r="E3735" i="46"/>
  <c r="E3734" i="46"/>
  <c r="E3733" i="46"/>
  <c r="E3732" i="46"/>
  <c r="E3731" i="46"/>
  <c r="E3730" i="46"/>
  <c r="E3729" i="46"/>
  <c r="E3728" i="46"/>
  <c r="E3727" i="46"/>
  <c r="E3726" i="46"/>
  <c r="E3725" i="46"/>
  <c r="E3724" i="46"/>
  <c r="E3723" i="46"/>
  <c r="E3722" i="46"/>
  <c r="E3721" i="46"/>
  <c r="E3720" i="46"/>
  <c r="E3719" i="46"/>
  <c r="E3718" i="46"/>
  <c r="E3717" i="46"/>
  <c r="E3716" i="46"/>
  <c r="E3715" i="46"/>
  <c r="E3714" i="46"/>
  <c r="E3713" i="46"/>
  <c r="E3712" i="46"/>
  <c r="E3711" i="46"/>
  <c r="E3710" i="46"/>
  <c r="E3709" i="46"/>
  <c r="E3708" i="46"/>
  <c r="E3707" i="46"/>
  <c r="E3706" i="46"/>
  <c r="E3705" i="46"/>
  <c r="E3704" i="46"/>
  <c r="E3703" i="46"/>
  <c r="E3702" i="46"/>
  <c r="E3701" i="46"/>
  <c r="E3700" i="46"/>
  <c r="E3699" i="46"/>
  <c r="E3698" i="46"/>
  <c r="E3697" i="46"/>
  <c r="E3696" i="46"/>
  <c r="E3695" i="46"/>
  <c r="E3694" i="46"/>
  <c r="E3693" i="46"/>
  <c r="E3692" i="46"/>
  <c r="E3691" i="46"/>
  <c r="E3690" i="46"/>
  <c r="E3689" i="46"/>
  <c r="E3688" i="46"/>
  <c r="E3687" i="46"/>
  <c r="E3686" i="46"/>
  <c r="E3685" i="46"/>
  <c r="E3684" i="46"/>
  <c r="E3683" i="46"/>
  <c r="E3682" i="46"/>
  <c r="E3681" i="46"/>
  <c r="E3680" i="46"/>
  <c r="E3679" i="46"/>
  <c r="E3678" i="46"/>
  <c r="E3677" i="46"/>
  <c r="E3676" i="46"/>
  <c r="E3675" i="46"/>
  <c r="E3674" i="46"/>
  <c r="E3673" i="46"/>
  <c r="E3672" i="46"/>
  <c r="E3671" i="46"/>
  <c r="E3670" i="46"/>
  <c r="E3669" i="46"/>
  <c r="E3668" i="46"/>
  <c r="E3667" i="46"/>
  <c r="E3666" i="46"/>
  <c r="E3665" i="46"/>
  <c r="E3664" i="46"/>
  <c r="E3663" i="46"/>
  <c r="E3662" i="46"/>
  <c r="E3661" i="46"/>
  <c r="E3660" i="46"/>
  <c r="E3659" i="46"/>
  <c r="E3658" i="46"/>
  <c r="E3657" i="46"/>
  <c r="E3656" i="46"/>
  <c r="E3655" i="46"/>
  <c r="E3654" i="46"/>
  <c r="E3653" i="46"/>
  <c r="E3652" i="46"/>
  <c r="E3651" i="46"/>
  <c r="E3650" i="46"/>
  <c r="E3649" i="46"/>
  <c r="E3648" i="46"/>
  <c r="E3647" i="46"/>
  <c r="E3646" i="46"/>
  <c r="E3645" i="46"/>
  <c r="E3644" i="46"/>
  <c r="E3643" i="46"/>
  <c r="E3642" i="46"/>
  <c r="E3641" i="46"/>
  <c r="E3640" i="46"/>
  <c r="E3639" i="46"/>
  <c r="E3638" i="46"/>
  <c r="E3637" i="46"/>
  <c r="E3636" i="46"/>
  <c r="E3635" i="46"/>
  <c r="E3634" i="46"/>
  <c r="E3633" i="46"/>
  <c r="E3632" i="46"/>
  <c r="E3631" i="46"/>
  <c r="E3630" i="46"/>
  <c r="E3629" i="46"/>
  <c r="E3628" i="46"/>
  <c r="E3627" i="46"/>
  <c r="E3626" i="46"/>
  <c r="E3625" i="46"/>
  <c r="E3624" i="46"/>
  <c r="E3623" i="46"/>
  <c r="E3622" i="46"/>
  <c r="E3621" i="46"/>
  <c r="E3620" i="46"/>
  <c r="E3619" i="46"/>
  <c r="E3618" i="46"/>
  <c r="E3617" i="46"/>
  <c r="E3616" i="46"/>
  <c r="E3615" i="46"/>
  <c r="E3614" i="46"/>
  <c r="E3613" i="46"/>
  <c r="E3612" i="46"/>
  <c r="E3611" i="46"/>
  <c r="E3610" i="46"/>
  <c r="E3609" i="46"/>
  <c r="E3608" i="46"/>
  <c r="E3607" i="46"/>
  <c r="E3606" i="46"/>
  <c r="E3605" i="46"/>
  <c r="E3604" i="46"/>
  <c r="E3603" i="46"/>
  <c r="E3602" i="46"/>
  <c r="E3601" i="46"/>
  <c r="E3600" i="46"/>
  <c r="E3599" i="46"/>
  <c r="E3598" i="46"/>
  <c r="E3597" i="46"/>
  <c r="E3596" i="46"/>
  <c r="E3595" i="46"/>
  <c r="E3594" i="46"/>
  <c r="E3593" i="46"/>
  <c r="E3592" i="46"/>
  <c r="E3591" i="46"/>
  <c r="E3590" i="46"/>
  <c r="E3589" i="46"/>
  <c r="E3588" i="46"/>
  <c r="E3587" i="46"/>
  <c r="E3586" i="46"/>
  <c r="E3585" i="46"/>
  <c r="E3584" i="46"/>
  <c r="E3583" i="46"/>
  <c r="E3582" i="46"/>
  <c r="E3581" i="46"/>
  <c r="E3580" i="46"/>
  <c r="E3579" i="46"/>
  <c r="E3578" i="46"/>
  <c r="E3577" i="46"/>
  <c r="E3576" i="46"/>
  <c r="E3575" i="46"/>
  <c r="E3574" i="46"/>
  <c r="E3573" i="46"/>
  <c r="E3572" i="46"/>
  <c r="E3571" i="46"/>
  <c r="E3570" i="46"/>
  <c r="E3569" i="46"/>
  <c r="E3568" i="46"/>
  <c r="E3567" i="46"/>
  <c r="E3566" i="46"/>
  <c r="E3565" i="46"/>
  <c r="E3564" i="46"/>
  <c r="E3563" i="46"/>
  <c r="E3562" i="46"/>
  <c r="E3561" i="46"/>
  <c r="E3560" i="46"/>
  <c r="E3559" i="46"/>
  <c r="E3558" i="46"/>
  <c r="E3557" i="46"/>
  <c r="E3556" i="46"/>
  <c r="E3555" i="46"/>
  <c r="E3554" i="46"/>
  <c r="E3553" i="46"/>
  <c r="E3552" i="46"/>
  <c r="E3551" i="46"/>
  <c r="E3550" i="46"/>
  <c r="E3549" i="46"/>
  <c r="E3548" i="46"/>
  <c r="E3547" i="46"/>
  <c r="E3546" i="46"/>
  <c r="E3545" i="46"/>
  <c r="E3544" i="46"/>
  <c r="E3543" i="46"/>
  <c r="E3542" i="46"/>
  <c r="E3541" i="46"/>
  <c r="E3540" i="46"/>
  <c r="E3539" i="46"/>
  <c r="E3538" i="46"/>
  <c r="E3537" i="46"/>
  <c r="E3536" i="46"/>
  <c r="E3535" i="46"/>
  <c r="E3534" i="46"/>
  <c r="E3533" i="46"/>
  <c r="E3532" i="46"/>
  <c r="E3531" i="46"/>
  <c r="E3530" i="46"/>
  <c r="E3529" i="46"/>
  <c r="E3528" i="46"/>
  <c r="E3527" i="46"/>
  <c r="E3526" i="46"/>
  <c r="E3525" i="46"/>
  <c r="E3524" i="46"/>
  <c r="E3523" i="46"/>
  <c r="E3522" i="46"/>
  <c r="E3521" i="46"/>
  <c r="E3520" i="46"/>
  <c r="E3519" i="46"/>
  <c r="E3518" i="46"/>
  <c r="E3517" i="46"/>
  <c r="E3516" i="46"/>
  <c r="E3515" i="46"/>
  <c r="E3514" i="46"/>
  <c r="E3513" i="46"/>
  <c r="E3512" i="46"/>
  <c r="E3511" i="46"/>
  <c r="E3510" i="46"/>
  <c r="E3509" i="46"/>
  <c r="E3508" i="46"/>
  <c r="E3507" i="46"/>
  <c r="E3506" i="46"/>
  <c r="E3505" i="46"/>
  <c r="E3504" i="46"/>
  <c r="E3503" i="46"/>
  <c r="E3502" i="46"/>
  <c r="E3501" i="46"/>
  <c r="E3500" i="46"/>
  <c r="E3499" i="46"/>
  <c r="E3498" i="46"/>
  <c r="E3497" i="46"/>
  <c r="E3496" i="46"/>
  <c r="E3495" i="46"/>
  <c r="E3494" i="46"/>
  <c r="E3493" i="46"/>
  <c r="E3492" i="46"/>
  <c r="E3491" i="46"/>
  <c r="E3490" i="46"/>
  <c r="E3489" i="46"/>
  <c r="E3488" i="46"/>
  <c r="E3487" i="46"/>
  <c r="E3486" i="46"/>
  <c r="E3485" i="46"/>
  <c r="E3484" i="46"/>
  <c r="E3483" i="46"/>
  <c r="E3482" i="46"/>
  <c r="E3481" i="46"/>
  <c r="E3480" i="46"/>
  <c r="E3479" i="46"/>
  <c r="E3478" i="46"/>
  <c r="E3477" i="46"/>
  <c r="E3476" i="46"/>
  <c r="E3475" i="46"/>
  <c r="E3474" i="46"/>
  <c r="E3473" i="46"/>
  <c r="E3472" i="46"/>
  <c r="E3471" i="46"/>
  <c r="E3470" i="46"/>
  <c r="E3469" i="46"/>
  <c r="E3468" i="46"/>
  <c r="E3467" i="46"/>
  <c r="E3466" i="46"/>
  <c r="E3465" i="46"/>
  <c r="E3464" i="46"/>
  <c r="E3463" i="46"/>
  <c r="E3462" i="46"/>
  <c r="E3461" i="46"/>
  <c r="E3460" i="46"/>
  <c r="E3459" i="46"/>
  <c r="E3458" i="46"/>
  <c r="E3457" i="46"/>
  <c r="E3456" i="46"/>
  <c r="E3455" i="46"/>
  <c r="E3454" i="46"/>
  <c r="E3453" i="46"/>
  <c r="E3452" i="46"/>
  <c r="E3451" i="46"/>
  <c r="E3450" i="46"/>
  <c r="E3449" i="46"/>
  <c r="E3448" i="46"/>
  <c r="E3447" i="46"/>
  <c r="E3446" i="46"/>
  <c r="E3445" i="46"/>
  <c r="E3444" i="46"/>
  <c r="E3443" i="46"/>
  <c r="E3442" i="46"/>
  <c r="E3441" i="46"/>
  <c r="E3440" i="46"/>
  <c r="E3439" i="46"/>
  <c r="E3438" i="46"/>
  <c r="E3437" i="46"/>
  <c r="E3436" i="46"/>
  <c r="E3435" i="46"/>
  <c r="E3434" i="46"/>
  <c r="E3433" i="46"/>
  <c r="E3432" i="46"/>
  <c r="E3431" i="46"/>
  <c r="E3430" i="46"/>
  <c r="E3429" i="46"/>
  <c r="E3428" i="46"/>
  <c r="E3427" i="46"/>
  <c r="E3426" i="46"/>
  <c r="E3425" i="46"/>
  <c r="E3424" i="46"/>
  <c r="E3423" i="46"/>
  <c r="E3422" i="46"/>
  <c r="E3421" i="46"/>
  <c r="E3420" i="46"/>
  <c r="E3419" i="46"/>
  <c r="E3418" i="46"/>
  <c r="E3417" i="46"/>
  <c r="E3416" i="46"/>
  <c r="E3415" i="46"/>
  <c r="E3414" i="46"/>
  <c r="E3413" i="46"/>
  <c r="E3412" i="46"/>
  <c r="E3411" i="46"/>
  <c r="E3410" i="46"/>
  <c r="E3409" i="46"/>
  <c r="E3408" i="46"/>
  <c r="E3407" i="46"/>
  <c r="E3406" i="46"/>
  <c r="E3405" i="46"/>
  <c r="E3404" i="46"/>
  <c r="E3403" i="46"/>
  <c r="E3402" i="46"/>
  <c r="E3401" i="46"/>
  <c r="E3400" i="46"/>
  <c r="E3399" i="46"/>
  <c r="E3398" i="46"/>
  <c r="E3397" i="46"/>
  <c r="E3396" i="46"/>
  <c r="E3395" i="46"/>
  <c r="E3394" i="46"/>
  <c r="E3393" i="46"/>
  <c r="E3392" i="46"/>
  <c r="E3391" i="46"/>
  <c r="E3390" i="46"/>
  <c r="E3389" i="46"/>
  <c r="E3388" i="46"/>
  <c r="E3387" i="46"/>
  <c r="E3386" i="46"/>
  <c r="E3385" i="46"/>
  <c r="E3384" i="46"/>
  <c r="E3383" i="46"/>
  <c r="E3382" i="46"/>
  <c r="E3381" i="46"/>
  <c r="E3380" i="46"/>
  <c r="E3379" i="46"/>
  <c r="E3378" i="46"/>
  <c r="E3377" i="46"/>
  <c r="E3376" i="46"/>
  <c r="E3375" i="46"/>
  <c r="E3374" i="46"/>
  <c r="E3373" i="46"/>
  <c r="E3372" i="46"/>
  <c r="E3371" i="46"/>
  <c r="E3370" i="46"/>
  <c r="E3369" i="46"/>
  <c r="E3368" i="46"/>
  <c r="E3367" i="46"/>
  <c r="E3366" i="46"/>
  <c r="E3365" i="46"/>
  <c r="E3364" i="46"/>
  <c r="E3363" i="46"/>
  <c r="E3362" i="46"/>
  <c r="E3361" i="46"/>
  <c r="E3360" i="46"/>
  <c r="E3359" i="46"/>
  <c r="E3358" i="46"/>
  <c r="E3357" i="46"/>
  <c r="E3356" i="46"/>
  <c r="E3355" i="46"/>
  <c r="E3354" i="46"/>
  <c r="E3353" i="46"/>
  <c r="E3352" i="46"/>
  <c r="E3351" i="46"/>
  <c r="E3350" i="46"/>
  <c r="E3349" i="46"/>
  <c r="E3348" i="46"/>
  <c r="E3347" i="46"/>
  <c r="E3346" i="46"/>
  <c r="E3345" i="46"/>
  <c r="E3344" i="46"/>
  <c r="E3343" i="46"/>
  <c r="E3342" i="46"/>
  <c r="E3341" i="46"/>
  <c r="E3340" i="46"/>
  <c r="E3339" i="46"/>
  <c r="E3338" i="46"/>
  <c r="E3337" i="46"/>
  <c r="E3336" i="46"/>
  <c r="E3335" i="46"/>
  <c r="E3334" i="46"/>
  <c r="E3333" i="46"/>
  <c r="E3332" i="46"/>
  <c r="E3331" i="46"/>
  <c r="E3330" i="46"/>
  <c r="E3329" i="46"/>
  <c r="E3328" i="46"/>
  <c r="E3327" i="46"/>
  <c r="E3326" i="46"/>
  <c r="E3325" i="46"/>
  <c r="E3324" i="46"/>
  <c r="E3323" i="46"/>
  <c r="E3322" i="46"/>
  <c r="E3321" i="46"/>
  <c r="E3320" i="46"/>
  <c r="E3319" i="46"/>
  <c r="E3318" i="46"/>
  <c r="E3317" i="46"/>
  <c r="E3316" i="46"/>
  <c r="E3315" i="46"/>
  <c r="E3314" i="46"/>
  <c r="E3313" i="46"/>
  <c r="E3312" i="46"/>
  <c r="E3311" i="46"/>
  <c r="E3310" i="46"/>
  <c r="E3309" i="46"/>
  <c r="E3308" i="46"/>
  <c r="E3307" i="46"/>
  <c r="E3306" i="46"/>
  <c r="E3305" i="46"/>
  <c r="E3304" i="46"/>
  <c r="E3303" i="46"/>
  <c r="E3302" i="46"/>
  <c r="E3301" i="46"/>
  <c r="E3300" i="46"/>
  <c r="E3299" i="46"/>
  <c r="E3298" i="46"/>
  <c r="E3297" i="46"/>
  <c r="E3296" i="46"/>
  <c r="E3295" i="46"/>
  <c r="E3294" i="46"/>
  <c r="E3293" i="46"/>
  <c r="E3292" i="46"/>
  <c r="E3291" i="46"/>
  <c r="E3290" i="46"/>
  <c r="E3289" i="46"/>
  <c r="E3288" i="46"/>
  <c r="E3287" i="46"/>
  <c r="E3286" i="46"/>
  <c r="E3285" i="46"/>
  <c r="E3284" i="46"/>
  <c r="E3283" i="46"/>
  <c r="E3282" i="46"/>
  <c r="E3281" i="46"/>
  <c r="E3280" i="46"/>
  <c r="E3279" i="46"/>
  <c r="E3278" i="46"/>
  <c r="E3277" i="46"/>
  <c r="E3276" i="46"/>
  <c r="E3275" i="46"/>
  <c r="E3274" i="46"/>
  <c r="E3273" i="46"/>
  <c r="E3272" i="46"/>
  <c r="E3271" i="46"/>
  <c r="E3270" i="46"/>
  <c r="E3269" i="46"/>
  <c r="E3268" i="46"/>
  <c r="E3267" i="46"/>
  <c r="E3266" i="46"/>
  <c r="E3265" i="46"/>
  <c r="E3264" i="46"/>
  <c r="E3263" i="46"/>
  <c r="E3262" i="46"/>
  <c r="E3261" i="46"/>
  <c r="E3260" i="46"/>
  <c r="E3259" i="46"/>
  <c r="E3258" i="46"/>
  <c r="E3257" i="46"/>
  <c r="E3256" i="46"/>
  <c r="E3255" i="46"/>
  <c r="E3254" i="46"/>
  <c r="E3253" i="46"/>
  <c r="E3252" i="46"/>
  <c r="E3251" i="46"/>
  <c r="E3250" i="46"/>
  <c r="E3249" i="46"/>
  <c r="E3248" i="46"/>
  <c r="E3247" i="46"/>
  <c r="E3246" i="46"/>
  <c r="E3245" i="46"/>
  <c r="E3244" i="46"/>
  <c r="E3243" i="46"/>
  <c r="E3242" i="46"/>
  <c r="E3241" i="46"/>
  <c r="E3240" i="46"/>
  <c r="E3239" i="46"/>
  <c r="E3238" i="46"/>
  <c r="E3237" i="46"/>
  <c r="E3236" i="46"/>
  <c r="E3235" i="46"/>
  <c r="E3234" i="46"/>
  <c r="E3233" i="46"/>
  <c r="E3232" i="46"/>
  <c r="E3231" i="46"/>
  <c r="E3230" i="46"/>
  <c r="E3229" i="46"/>
  <c r="E3228" i="46"/>
  <c r="E3227" i="46"/>
  <c r="E3226" i="46"/>
  <c r="E3225" i="46"/>
  <c r="E3224" i="46"/>
  <c r="E3223" i="46"/>
  <c r="E3222" i="46"/>
  <c r="E3221" i="46"/>
  <c r="E3220" i="46"/>
  <c r="E3219" i="46"/>
  <c r="E3218" i="46"/>
  <c r="E3217" i="46"/>
  <c r="E3216" i="46"/>
  <c r="E3215" i="46"/>
  <c r="E3214" i="46"/>
  <c r="E3213" i="46"/>
  <c r="E3212" i="46"/>
  <c r="E3211" i="46"/>
  <c r="E3210" i="46"/>
  <c r="E3209" i="46"/>
  <c r="E3208" i="46"/>
  <c r="E3207" i="46"/>
  <c r="E3206" i="46"/>
  <c r="E3205" i="46"/>
  <c r="E3204" i="46"/>
  <c r="E3203" i="46"/>
  <c r="E3202" i="46"/>
  <c r="E3201" i="46"/>
  <c r="E3200" i="46"/>
  <c r="E3199" i="46"/>
  <c r="E3198" i="46"/>
  <c r="E3197" i="46"/>
  <c r="E3196" i="46"/>
  <c r="E3195" i="46"/>
  <c r="E3194" i="46"/>
  <c r="E3193" i="46"/>
  <c r="E3192" i="46"/>
  <c r="E3191" i="46"/>
  <c r="E3190" i="46"/>
  <c r="E3189" i="46"/>
  <c r="E3188" i="46"/>
  <c r="E3187" i="46"/>
  <c r="E3186" i="46"/>
  <c r="E3185" i="46"/>
  <c r="E3184" i="46"/>
  <c r="E3183" i="46"/>
  <c r="E3182" i="46"/>
  <c r="E3181" i="46"/>
  <c r="E3180" i="46"/>
  <c r="E3179" i="46"/>
  <c r="E3178" i="46"/>
  <c r="E3177" i="46"/>
  <c r="E3176" i="46"/>
  <c r="E3175" i="46"/>
  <c r="E3174" i="46"/>
  <c r="E3173" i="46"/>
  <c r="E3172" i="46"/>
  <c r="E3171" i="46"/>
  <c r="E3170" i="46"/>
  <c r="E3169" i="46"/>
  <c r="E3168" i="46"/>
  <c r="E3167" i="46"/>
  <c r="E3166" i="46"/>
  <c r="E3165" i="46"/>
  <c r="E3164" i="46"/>
  <c r="E3163" i="46"/>
  <c r="E3162" i="46"/>
  <c r="E3161" i="46"/>
  <c r="E3160" i="46"/>
  <c r="E3159" i="46"/>
  <c r="E3158" i="46"/>
  <c r="E3157" i="46"/>
  <c r="E3156" i="46"/>
  <c r="E3155" i="46"/>
  <c r="E3154" i="46"/>
  <c r="E3153" i="46"/>
  <c r="E3152" i="46"/>
  <c r="E3151" i="46"/>
  <c r="E3150" i="46"/>
  <c r="E3149" i="46"/>
  <c r="E3148" i="46"/>
  <c r="E3147" i="46"/>
  <c r="E3146" i="46"/>
  <c r="E3145" i="46"/>
  <c r="E3144" i="46"/>
  <c r="E3143" i="46"/>
  <c r="E3142" i="46"/>
  <c r="E3141" i="46"/>
  <c r="E3140" i="46"/>
  <c r="E3139" i="46"/>
  <c r="E3138" i="46"/>
  <c r="E3137" i="46"/>
  <c r="E3136" i="46"/>
  <c r="E3135" i="46"/>
  <c r="E3134" i="46"/>
  <c r="E3133" i="46"/>
  <c r="E3132" i="46"/>
  <c r="E3131" i="46"/>
  <c r="E3130" i="46"/>
  <c r="E3129" i="46"/>
  <c r="E3128" i="46"/>
  <c r="E3127" i="46"/>
  <c r="E3126" i="46"/>
  <c r="E3125" i="46"/>
  <c r="E3124" i="46"/>
  <c r="E3123" i="46"/>
  <c r="E3122" i="46"/>
  <c r="E3121" i="46"/>
  <c r="E3120" i="46"/>
  <c r="E3119" i="46"/>
  <c r="E3118" i="46"/>
  <c r="E3117" i="46"/>
  <c r="E3116" i="46"/>
  <c r="E3115" i="46"/>
  <c r="E3114" i="46"/>
  <c r="E3113" i="46"/>
  <c r="E3112" i="46"/>
  <c r="E3111" i="46"/>
  <c r="E3110" i="46"/>
  <c r="E3109" i="46"/>
  <c r="E3108" i="46"/>
  <c r="E3107" i="46"/>
  <c r="E3106" i="46"/>
  <c r="E3105" i="46"/>
  <c r="E3104" i="46"/>
  <c r="E3103" i="46"/>
  <c r="E3102" i="46"/>
  <c r="E3101" i="46"/>
  <c r="E3100" i="46"/>
  <c r="E3099" i="46"/>
  <c r="E3098" i="46"/>
  <c r="E3097" i="46"/>
  <c r="E3096" i="46"/>
  <c r="E3095" i="46"/>
  <c r="E3094" i="46"/>
  <c r="E3093" i="46"/>
  <c r="E3092" i="46"/>
  <c r="E3091" i="46"/>
  <c r="E3090" i="46"/>
  <c r="E3089" i="46"/>
  <c r="E3088" i="46"/>
  <c r="E3087" i="46"/>
  <c r="E3086" i="46"/>
  <c r="E3085" i="46"/>
  <c r="E3084" i="46"/>
  <c r="E3083" i="46"/>
  <c r="E3082" i="46"/>
  <c r="E3081" i="46"/>
  <c r="E3080" i="46"/>
  <c r="E3079" i="46"/>
  <c r="E3078" i="46"/>
  <c r="E3077" i="46"/>
  <c r="E3076" i="46"/>
  <c r="E3075" i="46"/>
  <c r="E3074" i="46"/>
  <c r="E3073" i="46"/>
  <c r="E3072" i="46"/>
  <c r="E3071" i="46"/>
  <c r="E3070" i="46"/>
  <c r="E3069" i="46"/>
  <c r="E3068" i="46"/>
  <c r="E3067" i="46"/>
  <c r="E3066" i="46"/>
  <c r="E3065" i="46"/>
  <c r="E3064" i="46"/>
  <c r="E3063" i="46"/>
  <c r="E3062" i="46"/>
  <c r="E3061" i="46"/>
  <c r="E3060" i="46"/>
  <c r="E3059" i="46"/>
  <c r="E3058" i="46"/>
  <c r="E3057" i="46"/>
  <c r="E3056" i="46"/>
  <c r="E3055" i="46"/>
  <c r="E3054" i="46"/>
  <c r="E3053" i="46"/>
  <c r="E3052" i="46"/>
  <c r="E3051" i="46"/>
  <c r="E3050" i="46"/>
  <c r="E3049" i="46"/>
  <c r="E3048" i="46"/>
  <c r="E3047" i="46"/>
  <c r="E3046" i="46"/>
  <c r="E3045" i="46"/>
  <c r="E3044" i="46"/>
  <c r="E3043" i="46"/>
  <c r="E3042" i="46"/>
  <c r="E3041" i="46"/>
  <c r="E3040" i="46"/>
  <c r="E3039" i="46"/>
  <c r="E3038" i="46"/>
  <c r="E3037" i="46"/>
  <c r="E3036" i="46"/>
  <c r="E3035" i="46"/>
  <c r="E3034" i="46"/>
  <c r="E3033" i="46"/>
  <c r="E3032" i="46"/>
  <c r="E3031" i="46"/>
  <c r="E3030" i="46"/>
  <c r="E3029" i="46"/>
  <c r="E3028" i="46"/>
  <c r="E3027" i="46"/>
  <c r="E3026" i="46"/>
  <c r="E3025" i="46"/>
  <c r="E3024" i="46"/>
  <c r="E3023" i="46"/>
  <c r="E3022" i="46"/>
  <c r="E3021" i="46"/>
  <c r="E3020" i="46"/>
  <c r="E3019" i="46"/>
  <c r="E3018" i="46"/>
  <c r="E3017" i="46"/>
  <c r="E3016" i="46"/>
  <c r="E3015" i="46"/>
  <c r="E3014" i="46"/>
  <c r="E3013" i="46"/>
  <c r="E3012" i="46"/>
  <c r="E3011" i="46"/>
  <c r="E3010" i="46"/>
  <c r="E3009" i="46"/>
  <c r="E3008" i="46"/>
  <c r="E3007" i="46"/>
  <c r="E3006" i="46"/>
  <c r="E3005" i="46"/>
  <c r="E3004" i="46"/>
  <c r="E3003" i="46"/>
  <c r="E3002" i="46"/>
  <c r="E3001" i="46"/>
  <c r="E3000" i="46"/>
  <c r="E2999" i="46"/>
  <c r="E2998" i="46"/>
  <c r="E2997" i="46"/>
  <c r="E2996" i="46"/>
  <c r="E2995" i="46"/>
  <c r="E2994" i="46"/>
  <c r="E2993" i="46"/>
  <c r="E2992" i="46"/>
  <c r="E2991" i="46"/>
  <c r="E2990" i="46"/>
  <c r="E2989" i="46"/>
  <c r="E2988" i="46"/>
  <c r="E2987" i="46"/>
  <c r="E2986" i="46"/>
  <c r="E2985" i="46"/>
  <c r="E2984" i="46"/>
  <c r="E2983" i="46"/>
  <c r="E2982" i="46"/>
  <c r="E2981" i="46"/>
  <c r="E2980" i="46"/>
  <c r="E2979" i="46"/>
  <c r="E2978" i="46"/>
  <c r="E2977" i="46"/>
  <c r="E2976" i="46"/>
  <c r="E2975" i="46"/>
  <c r="E2974" i="46"/>
  <c r="E2973" i="46"/>
  <c r="E2972" i="46"/>
  <c r="E2971" i="46"/>
  <c r="E2970" i="46"/>
  <c r="E2969" i="46"/>
  <c r="E2968" i="46"/>
  <c r="E2967" i="46"/>
  <c r="E2966" i="46"/>
  <c r="E2965" i="46"/>
  <c r="E2964" i="46"/>
  <c r="E2963" i="46"/>
  <c r="E2962" i="46"/>
  <c r="E2961" i="46"/>
  <c r="E2960" i="46"/>
  <c r="E2959" i="46"/>
  <c r="E2958" i="46"/>
  <c r="E2957" i="46"/>
  <c r="E2956" i="46"/>
  <c r="E2955" i="46"/>
  <c r="E2954" i="46"/>
  <c r="E2953" i="46"/>
  <c r="E2952" i="46"/>
  <c r="E2951" i="46"/>
  <c r="E2950" i="46"/>
  <c r="E2949" i="46"/>
  <c r="E2948" i="46"/>
  <c r="E2947" i="46"/>
  <c r="E2946" i="46"/>
  <c r="E2945" i="46"/>
  <c r="E2944" i="46"/>
  <c r="E2943" i="46"/>
  <c r="E2942" i="46"/>
  <c r="E2941" i="46"/>
  <c r="E2940" i="46"/>
  <c r="E2939" i="46"/>
  <c r="E2938" i="46"/>
  <c r="E2937" i="46"/>
  <c r="E2936" i="46"/>
  <c r="E2935" i="46"/>
  <c r="E2934" i="46"/>
  <c r="E2933" i="46"/>
  <c r="E2932" i="46"/>
  <c r="E2931" i="46"/>
  <c r="E2930" i="46"/>
  <c r="E2929" i="46"/>
  <c r="E2928" i="46"/>
  <c r="E2927" i="46"/>
  <c r="E2926" i="46"/>
  <c r="E2925" i="46"/>
  <c r="E2924" i="46"/>
  <c r="E2923" i="46"/>
  <c r="E2922" i="46"/>
  <c r="E2921" i="46"/>
  <c r="E2920" i="46"/>
  <c r="E2919" i="46"/>
  <c r="E2918" i="46"/>
  <c r="E2917" i="46"/>
  <c r="E2916" i="46"/>
  <c r="E2915" i="46"/>
  <c r="E2914" i="46"/>
  <c r="E2913" i="46"/>
  <c r="E2912" i="46"/>
  <c r="E2911" i="46"/>
  <c r="E2910" i="46"/>
  <c r="E2909" i="46"/>
  <c r="E2908" i="46"/>
  <c r="E2907" i="46"/>
  <c r="E2906" i="46"/>
  <c r="E2905" i="46"/>
  <c r="E2904" i="46"/>
  <c r="E2903" i="46"/>
  <c r="E2902" i="46"/>
  <c r="E2901" i="46"/>
  <c r="E2900" i="46"/>
  <c r="E2899" i="46"/>
  <c r="E2898" i="46"/>
  <c r="E2897" i="46"/>
  <c r="E2896" i="46"/>
  <c r="E2895" i="46"/>
  <c r="E2894" i="46"/>
  <c r="E2893" i="46"/>
  <c r="E2892" i="46"/>
  <c r="E2891" i="46"/>
  <c r="E2890" i="46"/>
  <c r="E2889" i="46"/>
  <c r="E2888" i="46"/>
  <c r="E2887" i="46"/>
  <c r="E2886" i="46"/>
  <c r="E2885" i="46"/>
  <c r="E2884" i="46"/>
  <c r="E2883" i="46"/>
  <c r="E2882" i="46"/>
  <c r="E2881" i="46"/>
  <c r="E2880" i="46"/>
  <c r="E2879" i="46"/>
  <c r="E2878" i="46"/>
  <c r="E2877" i="46"/>
  <c r="E2876" i="46"/>
  <c r="E2875" i="46"/>
  <c r="E2874" i="46"/>
  <c r="E2873" i="46"/>
  <c r="E2872" i="46"/>
  <c r="E2871" i="46"/>
  <c r="E2870" i="46"/>
  <c r="E2869" i="46"/>
  <c r="E2868" i="46"/>
  <c r="E2867" i="46"/>
  <c r="E2866" i="46"/>
  <c r="E2865" i="46"/>
  <c r="E2864" i="46"/>
  <c r="E2863" i="46"/>
  <c r="E2862" i="46"/>
  <c r="E2861" i="46"/>
  <c r="E2860" i="46"/>
  <c r="E2859" i="46"/>
  <c r="E2858" i="46"/>
  <c r="E2857" i="46"/>
  <c r="E2856" i="46"/>
  <c r="E2855" i="46"/>
  <c r="E2854" i="46"/>
  <c r="E2853" i="46"/>
  <c r="E2852" i="46"/>
  <c r="E2851" i="46"/>
  <c r="E2850" i="46"/>
  <c r="E2849" i="46"/>
  <c r="E2848" i="46"/>
  <c r="E2847" i="46"/>
  <c r="E2846" i="46"/>
  <c r="E2845" i="46"/>
  <c r="E2844" i="46"/>
  <c r="E2843" i="46"/>
  <c r="E2842" i="46"/>
  <c r="E2841" i="46"/>
  <c r="E2840" i="46"/>
  <c r="E2839" i="46"/>
  <c r="E2838" i="46"/>
  <c r="E2837" i="46"/>
  <c r="E2836" i="46"/>
  <c r="E2835" i="46"/>
  <c r="E2834" i="46"/>
  <c r="E2833" i="46"/>
  <c r="E2832" i="46"/>
  <c r="E2831" i="46"/>
  <c r="E2830" i="46"/>
  <c r="E2829" i="46"/>
  <c r="E2828" i="46"/>
  <c r="E2827" i="46"/>
  <c r="E2826" i="46"/>
  <c r="E2825" i="46"/>
  <c r="E2824" i="46"/>
  <c r="E2823" i="46"/>
  <c r="E2822" i="46"/>
  <c r="E2821" i="46"/>
  <c r="E2820" i="46"/>
  <c r="E2819" i="46"/>
  <c r="E2818" i="46"/>
  <c r="E2817" i="46"/>
  <c r="E2816" i="46"/>
  <c r="E2815" i="46"/>
  <c r="E2814" i="46"/>
  <c r="E2813" i="46"/>
  <c r="E2812" i="46"/>
  <c r="E2811" i="46"/>
  <c r="E2810" i="46"/>
  <c r="E2809" i="46"/>
  <c r="E2808" i="46"/>
  <c r="E2807" i="46"/>
  <c r="E2806" i="46"/>
  <c r="E2805" i="46"/>
  <c r="E2804" i="46"/>
  <c r="E2803" i="46"/>
  <c r="E2802" i="46"/>
  <c r="E2801" i="46"/>
  <c r="E2800" i="46"/>
  <c r="E2799" i="46"/>
  <c r="E2798" i="46"/>
  <c r="E2797" i="46"/>
  <c r="E2796" i="46"/>
  <c r="E2795" i="46"/>
  <c r="E2794" i="46"/>
  <c r="E2793" i="46"/>
  <c r="E2792" i="46"/>
  <c r="E2791" i="46"/>
  <c r="E2790" i="46"/>
  <c r="E2789" i="46"/>
  <c r="E2788" i="46"/>
  <c r="E2787" i="46"/>
  <c r="E2786" i="46"/>
  <c r="E2785" i="46"/>
  <c r="E2784" i="46"/>
  <c r="E2783" i="46"/>
  <c r="E2782" i="46"/>
  <c r="E2781" i="46"/>
  <c r="E2780" i="46"/>
  <c r="E2779" i="46"/>
  <c r="E2778" i="46"/>
  <c r="E2777" i="46"/>
  <c r="E2776" i="46"/>
  <c r="E2775" i="46"/>
  <c r="E2774" i="46"/>
  <c r="E2773" i="46"/>
  <c r="E2772" i="46"/>
  <c r="E2771" i="46"/>
  <c r="E2770" i="46"/>
  <c r="E2769" i="46"/>
  <c r="E2768" i="46"/>
  <c r="E2767" i="46"/>
  <c r="E2766" i="46"/>
  <c r="E2765" i="46"/>
  <c r="E2764" i="46"/>
  <c r="E2763" i="46"/>
  <c r="E2762" i="46"/>
  <c r="E2761" i="46"/>
  <c r="E2760" i="46"/>
  <c r="E2759" i="46"/>
  <c r="E2758" i="46"/>
  <c r="E2757" i="46"/>
  <c r="E2756" i="46"/>
  <c r="E2755" i="46"/>
  <c r="E2754" i="46"/>
  <c r="E2753" i="46"/>
  <c r="E2752" i="46"/>
  <c r="E2751" i="46"/>
  <c r="E2750" i="46"/>
  <c r="E2749" i="46"/>
  <c r="E2748" i="46"/>
  <c r="E2747" i="46"/>
  <c r="E2746" i="46"/>
  <c r="E2745" i="46"/>
  <c r="E2744" i="46"/>
  <c r="E2743" i="46"/>
  <c r="E2742" i="46"/>
  <c r="E2741" i="46"/>
  <c r="E2740" i="46"/>
  <c r="E2739" i="46"/>
  <c r="E2738" i="46"/>
  <c r="E2737" i="46"/>
  <c r="E2736" i="46"/>
  <c r="E2735" i="46"/>
  <c r="E2734" i="46"/>
  <c r="E2733" i="46"/>
  <c r="E2732" i="46"/>
  <c r="E2731" i="46"/>
  <c r="E2730" i="46"/>
  <c r="E2729" i="46"/>
  <c r="E2728" i="46"/>
  <c r="E2727" i="46"/>
  <c r="E2726" i="46"/>
  <c r="E2725" i="46"/>
  <c r="E2724" i="46"/>
  <c r="E2723" i="46"/>
  <c r="E2722" i="46"/>
  <c r="E2721" i="46"/>
  <c r="E2720" i="46"/>
  <c r="E2719" i="46"/>
  <c r="E2718" i="46"/>
  <c r="E2717" i="46"/>
  <c r="E2716" i="46"/>
  <c r="E2715" i="46"/>
  <c r="E2714" i="46"/>
  <c r="E2713" i="46"/>
  <c r="E2712" i="46"/>
  <c r="E2711" i="46"/>
  <c r="E2710" i="46"/>
  <c r="E2709" i="46"/>
  <c r="E2708" i="46"/>
  <c r="E2707" i="46"/>
  <c r="E2706" i="46"/>
  <c r="E2705" i="46"/>
  <c r="E2704" i="46"/>
  <c r="E2703" i="46"/>
  <c r="E2702" i="46"/>
  <c r="E2701" i="46"/>
  <c r="E2700" i="46"/>
  <c r="E2699" i="46"/>
  <c r="E2698" i="46"/>
  <c r="E2697" i="46"/>
  <c r="E2696" i="46"/>
  <c r="E2695" i="46"/>
  <c r="E2694" i="46"/>
  <c r="E2693" i="46"/>
  <c r="E2692" i="46"/>
  <c r="E2691" i="46"/>
  <c r="E2690" i="46"/>
  <c r="E2689" i="46"/>
  <c r="E2688" i="46"/>
  <c r="E2687" i="46"/>
  <c r="E2686" i="46"/>
  <c r="E2685" i="46"/>
  <c r="E2684" i="46"/>
  <c r="E2683" i="46"/>
  <c r="E2682" i="46"/>
  <c r="E2681" i="46"/>
  <c r="E2680" i="46"/>
  <c r="E2679" i="46"/>
  <c r="E2678" i="46"/>
  <c r="E2677" i="46"/>
  <c r="E2676" i="46"/>
  <c r="E2675" i="46"/>
  <c r="E2674" i="46"/>
  <c r="E2673" i="46"/>
  <c r="E2672" i="46"/>
  <c r="E2671" i="46"/>
  <c r="E2670" i="46"/>
  <c r="E2669" i="46"/>
  <c r="E2668" i="46"/>
  <c r="E2667" i="46"/>
  <c r="E2666" i="46"/>
  <c r="E2665" i="46"/>
  <c r="E2664" i="46"/>
  <c r="E2663" i="46"/>
  <c r="E2662" i="46"/>
  <c r="E2661" i="46"/>
  <c r="E2660" i="46"/>
  <c r="E2659" i="46"/>
  <c r="E2658" i="46"/>
  <c r="E2657" i="46"/>
  <c r="E2656" i="46"/>
  <c r="E2655" i="46"/>
  <c r="E2654" i="46"/>
  <c r="E2653" i="46"/>
  <c r="E2652" i="46"/>
  <c r="E2651" i="46"/>
  <c r="E2650" i="46"/>
  <c r="E2649" i="46"/>
  <c r="E2648" i="46"/>
  <c r="E2647" i="46"/>
  <c r="E2646" i="46"/>
  <c r="E2645" i="46"/>
  <c r="E2644" i="46"/>
  <c r="E2643" i="46"/>
  <c r="E2642" i="46"/>
  <c r="E2641" i="46"/>
  <c r="E2640" i="46"/>
  <c r="E2639" i="46"/>
  <c r="E2638" i="46"/>
  <c r="E2637" i="46"/>
  <c r="E2636" i="46"/>
  <c r="E2635" i="46"/>
  <c r="E2634" i="46"/>
  <c r="E2633" i="46"/>
  <c r="E2632" i="46"/>
  <c r="E2631" i="46"/>
  <c r="E2630" i="46"/>
  <c r="E2629" i="46"/>
  <c r="E2628" i="46"/>
  <c r="E2627" i="46"/>
  <c r="E2626" i="46"/>
  <c r="E2625" i="46"/>
  <c r="E2624" i="46"/>
  <c r="E2623" i="46"/>
  <c r="E2622" i="46"/>
  <c r="E2621" i="46"/>
  <c r="E2620" i="46"/>
  <c r="E2619" i="46"/>
  <c r="E2618" i="46"/>
  <c r="E2617" i="46"/>
  <c r="E2616" i="46"/>
  <c r="E2615" i="46"/>
  <c r="E2614" i="46"/>
  <c r="E2613" i="46"/>
  <c r="E2612" i="46"/>
  <c r="E2611" i="46"/>
  <c r="E2610" i="46"/>
  <c r="E2609" i="46"/>
  <c r="E2608" i="46"/>
  <c r="E2607" i="46"/>
  <c r="E2606" i="46"/>
  <c r="E2605" i="46"/>
  <c r="E2604" i="46"/>
  <c r="E2603" i="46"/>
  <c r="E2602" i="46"/>
  <c r="E2601" i="46"/>
  <c r="E2600" i="46"/>
  <c r="E2599" i="46"/>
  <c r="E2598" i="46"/>
  <c r="E2597" i="46"/>
  <c r="E2596" i="46"/>
  <c r="E2595" i="46"/>
  <c r="E2594" i="46"/>
  <c r="E2593" i="46"/>
  <c r="E2592" i="46"/>
  <c r="E2591" i="46"/>
  <c r="E2590" i="46"/>
  <c r="E2589" i="46"/>
  <c r="E2588" i="46"/>
  <c r="E2587" i="46"/>
  <c r="E2586" i="46"/>
  <c r="E2585" i="46"/>
  <c r="E2584" i="46"/>
  <c r="E2583" i="46"/>
  <c r="E2582" i="46"/>
  <c r="E2581" i="46"/>
  <c r="E2580" i="46"/>
  <c r="E2579" i="46"/>
  <c r="E2578" i="46"/>
  <c r="E2577" i="46"/>
  <c r="E2576" i="46"/>
  <c r="E2575" i="46"/>
  <c r="E2574" i="46"/>
  <c r="E2573" i="46"/>
  <c r="E2572" i="46"/>
  <c r="E2571" i="46"/>
  <c r="E2570" i="46"/>
  <c r="E2569" i="46"/>
  <c r="E2568" i="46"/>
  <c r="E2567" i="46"/>
  <c r="E2566" i="46"/>
  <c r="E2565" i="46"/>
  <c r="E2564" i="46"/>
  <c r="E2563" i="46"/>
  <c r="E2562" i="46"/>
  <c r="E2561" i="46"/>
  <c r="E2560" i="46"/>
  <c r="E2559" i="46"/>
  <c r="E2558" i="46"/>
  <c r="E2557" i="46"/>
  <c r="E2556" i="46"/>
  <c r="E2555" i="46"/>
  <c r="E2554" i="46"/>
  <c r="E2553" i="46"/>
  <c r="E2552" i="46"/>
  <c r="E2551" i="46"/>
  <c r="E2550" i="46"/>
  <c r="E2549" i="46"/>
  <c r="E2548" i="46"/>
  <c r="E2547" i="46"/>
  <c r="E2546" i="46"/>
  <c r="E2545" i="46"/>
  <c r="E2544" i="46"/>
  <c r="E2543" i="46"/>
  <c r="E2542" i="46"/>
  <c r="E2541" i="46"/>
  <c r="E2540" i="46"/>
  <c r="E2539" i="46"/>
  <c r="E2538" i="46"/>
  <c r="E2537" i="46"/>
  <c r="E2536" i="46"/>
  <c r="E2535" i="46"/>
  <c r="E2534" i="46"/>
  <c r="E2533" i="46"/>
  <c r="E2532" i="46"/>
  <c r="E2531" i="46"/>
  <c r="E2530" i="46"/>
  <c r="E2529" i="46"/>
  <c r="E2528" i="46"/>
  <c r="E2527" i="46"/>
  <c r="E2526" i="46"/>
  <c r="E2525" i="46"/>
  <c r="E2524" i="46"/>
  <c r="E2523" i="46"/>
  <c r="E2522" i="46"/>
  <c r="E2521" i="46"/>
  <c r="E2520" i="46"/>
  <c r="E2519" i="46"/>
  <c r="E2518" i="46"/>
  <c r="E2517" i="46"/>
  <c r="E2516" i="46"/>
  <c r="E2515" i="46"/>
  <c r="E2514" i="46"/>
  <c r="E2513" i="46"/>
  <c r="E2512" i="46"/>
  <c r="E2511" i="46"/>
  <c r="E2510" i="46"/>
  <c r="E2509" i="46"/>
  <c r="E2508" i="46"/>
  <c r="E2507" i="46"/>
  <c r="E2506" i="46"/>
  <c r="E2505" i="46"/>
  <c r="E2504" i="46"/>
  <c r="E2503" i="46"/>
  <c r="E2502" i="46"/>
  <c r="E2501" i="46"/>
  <c r="E2500" i="46"/>
  <c r="E2499" i="46"/>
  <c r="E2498" i="46"/>
  <c r="E2497" i="46"/>
  <c r="E2496" i="46"/>
  <c r="E2495" i="46"/>
  <c r="E2494" i="46"/>
  <c r="E2493" i="46"/>
  <c r="E2492" i="46"/>
  <c r="E2491" i="46"/>
  <c r="E2490" i="46"/>
  <c r="E2489" i="46"/>
  <c r="E2488" i="46"/>
  <c r="E2487" i="46"/>
  <c r="E2486" i="46"/>
  <c r="E2485" i="46"/>
  <c r="E2484" i="46"/>
  <c r="E2483" i="46"/>
  <c r="E2482" i="46"/>
  <c r="E2481" i="46"/>
  <c r="E2480" i="46"/>
  <c r="E2479" i="46"/>
  <c r="E2478" i="46"/>
  <c r="E2477" i="46"/>
  <c r="E2476" i="46"/>
  <c r="E2475" i="46"/>
  <c r="E2474" i="46"/>
  <c r="E2473" i="46"/>
  <c r="E2472" i="46"/>
  <c r="E2471" i="46"/>
  <c r="E2470" i="46"/>
  <c r="E2469" i="46"/>
  <c r="E2468" i="46"/>
  <c r="E2467" i="46"/>
  <c r="E2466" i="46"/>
  <c r="E2465" i="46"/>
  <c r="E2464" i="46"/>
  <c r="E2463" i="46"/>
  <c r="E2462" i="46"/>
  <c r="E2461" i="46"/>
  <c r="E2460" i="46"/>
  <c r="E2459" i="46"/>
  <c r="E2458" i="46"/>
  <c r="E2457" i="46"/>
  <c r="E2456" i="46"/>
  <c r="E2455" i="46"/>
  <c r="E2454" i="46"/>
  <c r="E2453" i="46"/>
  <c r="E2452" i="46"/>
  <c r="E2451" i="46"/>
  <c r="E2450" i="46"/>
  <c r="E2449" i="46"/>
  <c r="E2448" i="46"/>
  <c r="E2447" i="46"/>
  <c r="E2446" i="46"/>
  <c r="E2445" i="46"/>
  <c r="E2444" i="46"/>
  <c r="E2443" i="46"/>
  <c r="E2442" i="46"/>
  <c r="E2441" i="46"/>
  <c r="E2440" i="46"/>
  <c r="E2439" i="46"/>
  <c r="E2438" i="46"/>
  <c r="E2437" i="46"/>
  <c r="E2436" i="46"/>
  <c r="E2435" i="46"/>
  <c r="E2434" i="46"/>
  <c r="E2433" i="46"/>
  <c r="E2432" i="46"/>
  <c r="E2431" i="46"/>
  <c r="E2430" i="46"/>
  <c r="E2429" i="46"/>
  <c r="E2428" i="46"/>
  <c r="E2427" i="46"/>
  <c r="E2426" i="46"/>
  <c r="E2425" i="46"/>
  <c r="E2424" i="46"/>
  <c r="E2423" i="46"/>
  <c r="E2422" i="46"/>
  <c r="E2421" i="46"/>
  <c r="E2420" i="46"/>
  <c r="E2419" i="46"/>
  <c r="E2418" i="46"/>
  <c r="E2417" i="46"/>
  <c r="E2416" i="46"/>
  <c r="E2415" i="46"/>
  <c r="E2414" i="46"/>
  <c r="E2413" i="46"/>
  <c r="E2412" i="46"/>
  <c r="E2411" i="46"/>
  <c r="E2410" i="46"/>
  <c r="E2409" i="46"/>
  <c r="E2408" i="46"/>
  <c r="E2407" i="46"/>
  <c r="E2406" i="46"/>
  <c r="E2405" i="46"/>
  <c r="E2404" i="46"/>
  <c r="E2403" i="46"/>
  <c r="E2402" i="46"/>
  <c r="E2401" i="46"/>
  <c r="E2400" i="46"/>
  <c r="E2399" i="46"/>
  <c r="E2398" i="46"/>
  <c r="E2397" i="46"/>
  <c r="E2396" i="46"/>
  <c r="E2395" i="46"/>
  <c r="E2394" i="46"/>
  <c r="E2393" i="46"/>
  <c r="E2392" i="46"/>
  <c r="E2391" i="46"/>
  <c r="E2390" i="46"/>
  <c r="E2389" i="46"/>
  <c r="E2388" i="46"/>
  <c r="E2387" i="46"/>
  <c r="E2386" i="46"/>
  <c r="E2385" i="46"/>
  <c r="E2384" i="46"/>
  <c r="E2383" i="46"/>
  <c r="E2382" i="46"/>
  <c r="E2381" i="46"/>
  <c r="E2380" i="46"/>
  <c r="E2379" i="46"/>
  <c r="E2378" i="46"/>
  <c r="E2377" i="46"/>
  <c r="E2376" i="46"/>
  <c r="E2375" i="46"/>
  <c r="E2374" i="46"/>
  <c r="E2373" i="46"/>
  <c r="E2372" i="46"/>
  <c r="E2371" i="46"/>
  <c r="E2370" i="46"/>
  <c r="E2369" i="46"/>
  <c r="E2368" i="46"/>
  <c r="E2367" i="46"/>
  <c r="E2366" i="46"/>
  <c r="E2365" i="46"/>
  <c r="E2364" i="46"/>
  <c r="E2363" i="46"/>
  <c r="E2362" i="46"/>
  <c r="E2361" i="46"/>
  <c r="E2360" i="46"/>
  <c r="E2359" i="46"/>
  <c r="E2358" i="46"/>
  <c r="E2357" i="46"/>
  <c r="E2356" i="46"/>
  <c r="E2355" i="46"/>
  <c r="E2354" i="46"/>
  <c r="E2353" i="46"/>
  <c r="E2352" i="46"/>
  <c r="E2351" i="46"/>
  <c r="E2350" i="46"/>
  <c r="E2349" i="46"/>
  <c r="E2348" i="46"/>
  <c r="E2347" i="46"/>
  <c r="E2346" i="46"/>
  <c r="E2345" i="46"/>
  <c r="E2344" i="46"/>
  <c r="E2343" i="46"/>
  <c r="E2342" i="46"/>
  <c r="E2341" i="46"/>
  <c r="E2340" i="46"/>
  <c r="E2339" i="46"/>
  <c r="E2338" i="46"/>
  <c r="E2337" i="46"/>
  <c r="E2336" i="46"/>
  <c r="E2335" i="46"/>
  <c r="E2334" i="46"/>
  <c r="E2333" i="46"/>
  <c r="E2332" i="46"/>
  <c r="E2331" i="46"/>
  <c r="E2330" i="46"/>
  <c r="E2329" i="46"/>
  <c r="E2328" i="46"/>
  <c r="E2327" i="46"/>
  <c r="E2326" i="46"/>
  <c r="E2325" i="46"/>
  <c r="E2324" i="46"/>
  <c r="E2323" i="46"/>
  <c r="E2322" i="46"/>
  <c r="E2321" i="46"/>
  <c r="E2320" i="46"/>
  <c r="E2319" i="46"/>
  <c r="E2318" i="46"/>
  <c r="E2317" i="46"/>
  <c r="E2316" i="46"/>
  <c r="E2315" i="46"/>
  <c r="E2314" i="46"/>
  <c r="E2313" i="46"/>
  <c r="E2312" i="46"/>
  <c r="E2311" i="46"/>
  <c r="E2310" i="46"/>
  <c r="E2309" i="46"/>
  <c r="E2308" i="46"/>
  <c r="E2307" i="46"/>
  <c r="E2306" i="46"/>
  <c r="E2305" i="46"/>
  <c r="E2304" i="46"/>
  <c r="E2303" i="46"/>
  <c r="E2302" i="46"/>
  <c r="E2301" i="46"/>
  <c r="E2300" i="46"/>
  <c r="E2299" i="46"/>
  <c r="E2298" i="46"/>
  <c r="E2297" i="46"/>
  <c r="E2296" i="46"/>
  <c r="E2295" i="46"/>
  <c r="E2294" i="46"/>
  <c r="E2293" i="46"/>
  <c r="E2292" i="46"/>
  <c r="E2291" i="46"/>
  <c r="E2290" i="46"/>
  <c r="E2289" i="46"/>
  <c r="E2288" i="46"/>
  <c r="E2287" i="46"/>
  <c r="E2286" i="46"/>
  <c r="E2285" i="46"/>
  <c r="E2284" i="46"/>
  <c r="E2283" i="46"/>
  <c r="E2282" i="46"/>
  <c r="E2281" i="46"/>
  <c r="E2280" i="46"/>
  <c r="E2279" i="46"/>
  <c r="E2278" i="46"/>
  <c r="E2277" i="46"/>
  <c r="E2276" i="46"/>
  <c r="E2275" i="46"/>
  <c r="E2274" i="46"/>
  <c r="E2273" i="46"/>
  <c r="E2272" i="46"/>
  <c r="E2271" i="46"/>
  <c r="E2270" i="46"/>
  <c r="E2269" i="46"/>
  <c r="E2268" i="46"/>
  <c r="E2267" i="46"/>
  <c r="E2266" i="46"/>
  <c r="E2265" i="46"/>
  <c r="E2264" i="46"/>
  <c r="E2263" i="46"/>
  <c r="E2262" i="46"/>
  <c r="E2261" i="46"/>
  <c r="E2260" i="46"/>
  <c r="E2259" i="46"/>
  <c r="E2258" i="46"/>
  <c r="E2257" i="46"/>
  <c r="E2256" i="46"/>
  <c r="E2255" i="46"/>
  <c r="E2254" i="46"/>
  <c r="E2253" i="46"/>
  <c r="E2252" i="46"/>
  <c r="E2251" i="46"/>
  <c r="E2250" i="46"/>
  <c r="E2249" i="46"/>
  <c r="E2248" i="46"/>
  <c r="E2247" i="46"/>
  <c r="E2246" i="46"/>
  <c r="E2245" i="46"/>
  <c r="E2244" i="46"/>
  <c r="E2243" i="46"/>
  <c r="E2242" i="46"/>
  <c r="E2241" i="46"/>
  <c r="E2240" i="46"/>
  <c r="E2239" i="46"/>
  <c r="E2238" i="46"/>
  <c r="E2237" i="46"/>
  <c r="E2236" i="46"/>
  <c r="E2235" i="46"/>
  <c r="E2234" i="46"/>
  <c r="E2233" i="46"/>
  <c r="E2232" i="46"/>
  <c r="E2231" i="46"/>
  <c r="E2230" i="46"/>
  <c r="E2229" i="46"/>
  <c r="E2228" i="46"/>
  <c r="E2227" i="46"/>
  <c r="E2226" i="46"/>
  <c r="E2225" i="46"/>
  <c r="E2224" i="46"/>
  <c r="E2223" i="46"/>
  <c r="E2222" i="46"/>
  <c r="E2221" i="46"/>
  <c r="E2220" i="46"/>
  <c r="E2219" i="46"/>
  <c r="E2218" i="46"/>
  <c r="E2217" i="46"/>
  <c r="E2216" i="46"/>
  <c r="E2215" i="46"/>
  <c r="E2214" i="46"/>
  <c r="E2213" i="46"/>
  <c r="E2212" i="46"/>
  <c r="E2211" i="46"/>
  <c r="E2210" i="46"/>
  <c r="E2209" i="46"/>
  <c r="E2208" i="46"/>
  <c r="E2207" i="46"/>
  <c r="E2206" i="46"/>
  <c r="E2205" i="46"/>
  <c r="E2204" i="46"/>
  <c r="E2203" i="46"/>
  <c r="E2202" i="46"/>
  <c r="E2201" i="46"/>
  <c r="E2200" i="46"/>
  <c r="E2199" i="46"/>
  <c r="E2198" i="46"/>
  <c r="E2197" i="46"/>
  <c r="E2196" i="46"/>
  <c r="E2195" i="46"/>
  <c r="E2194" i="46"/>
  <c r="E2193" i="46"/>
  <c r="E2192" i="46"/>
  <c r="E2191" i="46"/>
  <c r="E2190" i="46"/>
  <c r="E2189" i="46"/>
  <c r="E2188" i="46"/>
  <c r="E2187" i="46"/>
  <c r="E2186" i="46"/>
  <c r="E2185" i="46"/>
  <c r="E2184" i="46"/>
  <c r="E2183" i="46"/>
  <c r="E2182" i="46"/>
  <c r="E2181" i="46"/>
  <c r="E2180" i="46"/>
  <c r="E2179" i="46"/>
  <c r="E2178" i="46"/>
  <c r="E2177" i="46"/>
  <c r="E2176" i="46"/>
  <c r="E2175" i="46"/>
  <c r="E2174" i="46"/>
  <c r="E2173" i="46"/>
  <c r="E2172" i="46"/>
  <c r="E2171" i="46"/>
  <c r="E2170" i="46"/>
  <c r="E2169" i="46"/>
  <c r="E2168" i="46"/>
  <c r="E2167" i="46"/>
  <c r="E2166" i="46"/>
  <c r="E2165" i="46"/>
  <c r="E2164" i="46"/>
  <c r="E2163" i="46"/>
  <c r="E2162" i="46"/>
  <c r="E2161" i="46"/>
  <c r="E2160" i="46"/>
  <c r="E2159" i="46"/>
  <c r="E2158" i="46"/>
  <c r="E2157" i="46"/>
  <c r="E2156" i="46"/>
  <c r="E2155" i="46"/>
  <c r="E2154" i="46"/>
  <c r="E2153" i="46"/>
  <c r="E2152" i="46"/>
  <c r="E2151" i="46"/>
  <c r="E2150" i="46"/>
  <c r="E2149" i="46"/>
  <c r="E2148" i="46"/>
  <c r="E2147" i="46"/>
  <c r="E2146" i="46"/>
  <c r="E2145" i="46"/>
  <c r="E2144" i="46"/>
  <c r="E2143" i="46"/>
  <c r="E2142" i="46"/>
  <c r="E2141" i="46"/>
  <c r="E2140" i="46"/>
  <c r="E2139" i="46"/>
  <c r="E2138" i="46"/>
  <c r="E2137" i="46"/>
  <c r="E2136" i="46"/>
  <c r="E2135" i="46"/>
  <c r="E2134" i="46"/>
  <c r="E2133" i="46"/>
  <c r="E2132" i="46"/>
  <c r="E2131" i="46"/>
  <c r="E2130" i="46"/>
  <c r="E2129" i="46"/>
  <c r="E2128" i="46"/>
  <c r="E2127" i="46"/>
  <c r="E2126" i="46"/>
  <c r="E2125" i="46"/>
  <c r="E2124" i="46"/>
  <c r="E2123" i="46"/>
  <c r="E2122" i="46"/>
  <c r="E2121" i="46"/>
  <c r="E2120" i="46"/>
  <c r="E2119" i="46"/>
  <c r="E2118" i="46"/>
  <c r="E2117" i="46"/>
  <c r="E2116" i="46"/>
  <c r="E2115" i="46"/>
  <c r="E2114" i="46"/>
  <c r="E2113" i="46"/>
  <c r="E2112" i="46"/>
  <c r="E2111" i="46"/>
  <c r="E2110" i="46"/>
  <c r="E2109" i="46"/>
  <c r="E2108" i="46"/>
  <c r="E2107" i="46"/>
  <c r="E2106" i="46"/>
  <c r="E2105" i="46"/>
  <c r="E2104" i="46"/>
  <c r="E2103" i="46"/>
  <c r="E2102" i="46"/>
  <c r="E2101" i="46"/>
  <c r="E2100" i="46"/>
  <c r="E2099" i="46"/>
  <c r="E2098" i="46"/>
  <c r="E2097" i="46"/>
  <c r="E2096" i="46"/>
  <c r="E2095" i="46"/>
  <c r="E2094" i="46"/>
  <c r="E2093" i="46"/>
  <c r="E2092" i="46"/>
  <c r="E2091" i="46"/>
  <c r="E2090" i="46"/>
  <c r="E2089" i="46"/>
  <c r="E2088" i="46"/>
  <c r="E2087" i="46"/>
  <c r="E2086" i="46"/>
  <c r="E2085" i="46"/>
  <c r="E2084" i="46"/>
  <c r="E2083" i="46"/>
  <c r="E2082" i="46"/>
  <c r="E2081" i="46"/>
  <c r="E2080" i="46"/>
  <c r="E2079" i="46"/>
  <c r="E2078" i="46"/>
  <c r="E2077" i="46"/>
  <c r="E2076" i="46"/>
  <c r="E2075" i="46"/>
  <c r="E2074" i="46"/>
  <c r="E2073" i="46"/>
  <c r="E2072" i="46"/>
  <c r="E2071" i="46"/>
  <c r="E2070" i="46"/>
  <c r="E2069" i="46"/>
  <c r="E2068" i="46"/>
  <c r="E2067" i="46"/>
  <c r="E2066" i="46"/>
  <c r="E2065" i="46"/>
  <c r="E2064" i="46"/>
  <c r="E2063" i="46"/>
  <c r="E2062" i="46"/>
  <c r="E2061" i="46"/>
  <c r="E2060" i="46"/>
  <c r="E2059" i="46"/>
  <c r="E2058" i="46"/>
  <c r="E2057" i="46"/>
  <c r="E2056" i="46"/>
  <c r="E2055" i="46"/>
  <c r="E2054" i="46"/>
  <c r="E2053" i="46"/>
  <c r="E2052" i="46"/>
  <c r="E2051" i="46"/>
  <c r="E2050" i="46"/>
  <c r="E2049" i="46"/>
  <c r="E2048" i="46"/>
  <c r="E2047" i="46"/>
  <c r="E2046" i="46"/>
  <c r="E2045" i="46"/>
  <c r="E2044" i="46"/>
  <c r="E2043" i="46"/>
  <c r="E2042" i="46"/>
  <c r="E2041" i="46"/>
  <c r="E2040" i="46"/>
  <c r="E2039" i="46"/>
  <c r="E2038" i="46"/>
  <c r="E2037" i="46"/>
  <c r="E2036" i="46"/>
  <c r="E2035" i="46"/>
  <c r="E2034" i="46"/>
  <c r="E2033" i="46"/>
  <c r="E2032" i="46"/>
  <c r="E2031" i="46"/>
  <c r="E2030" i="46"/>
  <c r="E2029" i="46"/>
  <c r="E2028" i="46"/>
  <c r="E2027" i="46"/>
  <c r="E2026" i="46"/>
  <c r="E2025" i="46"/>
  <c r="E2024" i="46"/>
  <c r="E2023" i="46"/>
  <c r="E2022" i="46"/>
  <c r="E2021" i="46"/>
  <c r="E2020" i="46"/>
  <c r="E2019" i="46"/>
  <c r="E2018" i="46"/>
  <c r="E2017" i="46"/>
  <c r="E2016" i="46"/>
  <c r="E2015" i="46"/>
  <c r="E2014" i="46"/>
  <c r="E2013" i="46"/>
  <c r="E2012" i="46"/>
  <c r="E2011" i="46"/>
  <c r="E2010" i="46"/>
  <c r="E2009" i="46"/>
  <c r="E2008" i="46"/>
  <c r="E2007" i="46"/>
  <c r="E2006" i="46"/>
  <c r="E2005" i="46"/>
  <c r="E2004" i="46"/>
  <c r="E2003" i="46"/>
  <c r="E2002" i="46"/>
  <c r="E2001" i="46"/>
  <c r="E2000" i="46"/>
  <c r="E1999" i="46"/>
  <c r="E1998" i="46"/>
  <c r="E1997" i="46"/>
  <c r="E1996" i="46"/>
  <c r="E1995" i="46"/>
  <c r="E1994" i="46"/>
  <c r="E1993" i="46"/>
  <c r="E1992" i="46"/>
  <c r="E1991" i="46"/>
  <c r="E1990" i="46"/>
  <c r="E1989" i="46"/>
  <c r="E1988" i="46"/>
  <c r="E1987" i="46"/>
  <c r="E1986" i="46"/>
  <c r="E1985" i="46"/>
  <c r="E1984" i="46"/>
  <c r="E1983" i="46"/>
  <c r="E1982" i="46"/>
  <c r="E1981" i="46"/>
  <c r="E1980" i="46"/>
  <c r="E1979" i="46"/>
  <c r="E1978" i="46"/>
  <c r="E1977" i="46"/>
  <c r="E1976" i="46"/>
  <c r="E1975" i="46"/>
  <c r="E1974" i="46"/>
  <c r="E1973" i="46"/>
  <c r="E1972" i="46"/>
  <c r="E1971" i="46"/>
  <c r="E1970" i="46"/>
  <c r="E1969" i="46"/>
  <c r="E1968" i="46"/>
  <c r="E1967" i="46"/>
  <c r="E1966" i="46"/>
  <c r="E1965" i="46"/>
  <c r="E1964" i="46"/>
  <c r="E1963" i="46"/>
  <c r="E1962" i="46"/>
  <c r="E1961" i="46"/>
  <c r="E1960" i="46"/>
  <c r="E1959" i="46"/>
  <c r="E1958" i="46"/>
  <c r="E1957" i="46"/>
  <c r="E1956" i="46"/>
  <c r="E1955" i="46"/>
  <c r="E1954" i="46"/>
  <c r="E1953" i="46"/>
  <c r="E1952" i="46"/>
  <c r="E1951" i="46"/>
  <c r="E1950" i="46"/>
  <c r="E1949" i="46"/>
  <c r="E1948" i="46"/>
  <c r="E1947" i="46"/>
  <c r="E1946" i="46"/>
  <c r="E1945" i="46"/>
  <c r="E1944" i="46"/>
  <c r="E1943" i="46"/>
  <c r="E1942" i="46"/>
  <c r="E1941" i="46"/>
  <c r="E1940" i="46"/>
  <c r="E1939" i="46"/>
  <c r="E1938" i="46"/>
  <c r="E1937" i="46"/>
  <c r="E1936" i="46"/>
  <c r="E1935" i="46"/>
  <c r="E1934" i="46"/>
  <c r="E1933" i="46"/>
  <c r="E1932" i="46"/>
  <c r="E1931" i="46"/>
  <c r="E1930" i="46"/>
  <c r="E1929" i="46"/>
  <c r="E1928" i="46"/>
  <c r="E1927" i="46"/>
  <c r="E1926" i="46"/>
  <c r="E1925" i="46"/>
  <c r="E1924" i="46"/>
  <c r="E1923" i="46"/>
  <c r="E1922" i="46"/>
  <c r="E1921" i="46"/>
  <c r="E1920" i="46"/>
  <c r="E1919" i="46"/>
  <c r="E1918" i="46"/>
  <c r="E1917" i="46"/>
  <c r="E1916" i="46"/>
  <c r="E1915" i="46"/>
  <c r="E1914" i="46"/>
  <c r="E1913" i="46"/>
  <c r="E1912" i="46"/>
  <c r="E1911" i="46"/>
  <c r="E1910" i="46"/>
  <c r="E1909" i="46"/>
  <c r="E1908" i="46"/>
  <c r="E1907" i="46"/>
  <c r="E1906" i="46"/>
  <c r="E1905" i="46"/>
  <c r="E1904" i="46"/>
  <c r="E1903" i="46"/>
  <c r="E1902" i="46"/>
  <c r="E1901" i="46"/>
  <c r="E1900" i="46"/>
  <c r="E1899" i="46"/>
  <c r="E1898" i="46"/>
  <c r="E1897" i="46"/>
  <c r="E1896" i="46"/>
  <c r="E1895" i="46"/>
  <c r="E1894" i="46"/>
  <c r="E1893" i="46"/>
  <c r="E1892" i="46"/>
  <c r="E1891" i="46"/>
  <c r="E1890" i="46"/>
  <c r="E1889" i="46"/>
  <c r="E1888" i="46"/>
  <c r="E1887" i="46"/>
  <c r="E1886" i="46"/>
  <c r="E1885" i="46"/>
  <c r="E1884" i="46"/>
  <c r="E1883" i="46"/>
  <c r="E1882" i="46"/>
  <c r="E1881" i="46"/>
  <c r="E1880" i="46"/>
  <c r="E1879" i="46"/>
  <c r="E1878" i="46"/>
  <c r="E1877" i="46"/>
  <c r="E1876" i="46"/>
  <c r="E1875" i="46"/>
  <c r="E1874" i="46"/>
  <c r="E1873" i="46"/>
  <c r="E1872" i="46"/>
  <c r="E1871" i="46"/>
  <c r="E1870" i="46"/>
  <c r="E1869" i="46"/>
  <c r="E1868" i="46"/>
  <c r="E1867" i="46"/>
  <c r="E1866" i="46"/>
  <c r="E1865" i="46"/>
  <c r="E1864" i="46"/>
  <c r="E1863" i="46"/>
  <c r="E1862" i="46"/>
  <c r="E1861" i="46"/>
  <c r="E1860" i="46"/>
  <c r="E1859" i="46"/>
  <c r="E1858" i="46"/>
  <c r="E1857" i="46"/>
  <c r="E1856" i="46"/>
  <c r="E1855" i="46"/>
  <c r="E1854" i="46"/>
  <c r="E1853" i="46"/>
  <c r="E1852" i="46"/>
  <c r="E1851" i="46"/>
  <c r="E1850" i="46"/>
  <c r="E1849" i="46"/>
  <c r="E1848" i="46"/>
  <c r="E1847" i="46"/>
  <c r="E1846" i="46"/>
  <c r="E1845" i="46"/>
  <c r="E1844" i="46"/>
  <c r="E1843" i="46"/>
  <c r="E1842" i="46"/>
  <c r="E1841" i="46"/>
  <c r="E1840" i="46"/>
  <c r="E1839" i="46"/>
  <c r="E1838" i="46"/>
  <c r="E1837" i="46"/>
  <c r="E1836" i="46"/>
  <c r="E1835" i="46"/>
  <c r="E1834" i="46"/>
  <c r="E1833" i="46"/>
  <c r="E1832" i="46"/>
  <c r="E1831" i="46"/>
  <c r="E1830" i="46"/>
  <c r="E1829" i="46"/>
  <c r="E1828" i="46"/>
  <c r="E1827" i="46"/>
  <c r="E1826" i="46"/>
  <c r="E1825" i="46"/>
  <c r="E1824" i="46"/>
  <c r="E1823" i="46"/>
  <c r="E1822" i="46"/>
  <c r="E1821" i="46"/>
  <c r="E1820" i="46"/>
  <c r="E1819" i="46"/>
  <c r="E1818" i="46"/>
  <c r="E1817" i="46"/>
  <c r="E1816" i="46"/>
  <c r="E1815" i="46"/>
  <c r="E1814" i="46"/>
  <c r="E1813" i="46"/>
  <c r="E1812" i="46"/>
  <c r="E1811" i="46"/>
  <c r="E1810" i="46"/>
  <c r="E1809" i="46"/>
  <c r="E1808" i="46"/>
  <c r="E1807" i="46"/>
  <c r="E1806" i="46"/>
  <c r="E1805" i="46"/>
  <c r="E1804" i="46"/>
  <c r="E1803" i="46"/>
  <c r="E1802" i="46"/>
  <c r="E1801" i="46"/>
  <c r="E1800" i="46"/>
  <c r="E1799" i="46"/>
  <c r="E1798" i="46"/>
  <c r="E1797" i="46"/>
  <c r="E1796" i="46"/>
  <c r="E1795" i="46"/>
  <c r="E1794" i="46"/>
  <c r="E1793" i="46"/>
  <c r="E1792" i="46"/>
  <c r="E1791" i="46"/>
  <c r="E1790" i="46"/>
  <c r="E1789" i="46"/>
  <c r="E1788" i="46"/>
  <c r="E1787" i="46"/>
  <c r="E1786" i="46"/>
  <c r="E1785" i="46"/>
  <c r="E1784" i="46"/>
  <c r="E1783" i="46"/>
  <c r="E1782" i="46"/>
  <c r="E1781" i="46"/>
  <c r="E1780" i="46"/>
  <c r="E1779" i="46"/>
  <c r="E1778" i="46"/>
  <c r="E1777" i="46"/>
  <c r="E1776" i="46"/>
  <c r="E1775" i="46"/>
  <c r="E1774" i="46"/>
  <c r="E1773" i="46"/>
  <c r="E1772" i="46"/>
  <c r="E1771" i="46"/>
  <c r="E1770" i="46"/>
  <c r="E1769" i="46"/>
  <c r="E1768" i="46"/>
  <c r="E1767" i="46"/>
  <c r="E1766" i="46"/>
  <c r="E1765" i="46"/>
  <c r="E1764" i="46"/>
  <c r="E1763" i="46"/>
  <c r="E1762" i="46"/>
  <c r="E1761" i="46"/>
  <c r="E1760" i="46"/>
  <c r="E1759" i="46"/>
  <c r="E1758" i="46"/>
  <c r="E1757" i="46"/>
  <c r="E1756" i="46"/>
  <c r="E1755" i="46"/>
  <c r="E1754" i="46"/>
  <c r="E1753" i="46"/>
  <c r="E1752" i="46"/>
  <c r="E1751" i="46"/>
  <c r="E1750" i="46"/>
  <c r="E1749" i="46"/>
  <c r="E1748" i="46"/>
  <c r="E1747" i="46"/>
  <c r="E1746" i="46"/>
  <c r="E1745" i="46"/>
  <c r="E1744" i="46"/>
  <c r="E1743" i="46"/>
  <c r="E1742" i="46"/>
  <c r="E1741" i="46"/>
  <c r="E1740" i="46"/>
  <c r="E1739" i="46"/>
  <c r="E1738" i="46"/>
  <c r="E1737" i="46"/>
  <c r="E1736" i="46"/>
  <c r="E1735" i="46"/>
  <c r="E1734" i="46"/>
  <c r="E1733" i="46"/>
  <c r="E1732" i="46"/>
  <c r="E1731" i="46"/>
  <c r="E1730" i="46"/>
  <c r="E1729" i="46"/>
  <c r="E1728" i="46"/>
  <c r="E1727" i="46"/>
  <c r="E1726" i="46"/>
  <c r="E1725" i="46"/>
  <c r="E1724" i="46"/>
  <c r="E1723" i="46"/>
  <c r="E1722" i="46"/>
  <c r="E1721" i="46"/>
  <c r="E1720" i="46"/>
  <c r="E1719" i="46"/>
  <c r="E1718" i="46"/>
  <c r="E1717" i="46"/>
  <c r="E1716" i="46"/>
  <c r="E1715" i="46"/>
  <c r="E1714" i="46"/>
  <c r="E1713" i="46"/>
  <c r="E1712" i="46"/>
  <c r="E1711" i="46"/>
  <c r="E1710" i="46"/>
  <c r="E1709" i="46"/>
  <c r="E1708" i="46"/>
  <c r="E1707" i="46"/>
  <c r="E1706" i="46"/>
  <c r="E1705" i="46"/>
  <c r="E1704" i="46"/>
  <c r="E1703" i="46"/>
  <c r="E1702" i="46"/>
  <c r="E1701" i="46"/>
  <c r="E1700" i="46"/>
  <c r="E1699" i="46"/>
  <c r="E1698" i="46"/>
  <c r="E1697" i="46"/>
  <c r="E1696" i="46"/>
  <c r="E1695" i="46"/>
  <c r="E1694" i="46"/>
  <c r="E1693" i="46"/>
  <c r="E1692" i="46"/>
  <c r="E1691" i="46"/>
  <c r="E1690" i="46"/>
  <c r="E1689" i="46"/>
  <c r="E1688" i="46"/>
  <c r="E1687" i="46"/>
  <c r="E1686" i="46"/>
  <c r="E1685" i="46"/>
  <c r="E1684" i="46"/>
  <c r="E1683" i="46"/>
  <c r="E1682" i="46"/>
  <c r="E1681" i="46"/>
  <c r="E1680" i="46"/>
  <c r="E1679" i="46"/>
  <c r="E1678" i="46"/>
  <c r="E1677" i="46"/>
  <c r="E1676" i="46"/>
  <c r="E1675" i="46"/>
  <c r="E1674" i="46"/>
  <c r="E1673" i="46"/>
  <c r="E1672" i="46"/>
  <c r="E1671" i="46"/>
  <c r="E1670" i="46"/>
  <c r="E1669" i="46"/>
  <c r="E1668" i="46"/>
  <c r="E1667" i="46"/>
  <c r="E1666" i="46"/>
  <c r="E1665" i="46"/>
  <c r="E1664" i="46"/>
  <c r="E1663" i="46"/>
  <c r="E1662" i="46"/>
  <c r="E1661" i="46"/>
  <c r="E1660" i="46"/>
  <c r="E1659" i="46"/>
  <c r="E1658" i="46"/>
  <c r="E1657" i="46"/>
  <c r="E1656" i="46"/>
  <c r="E1655" i="46"/>
  <c r="E1654" i="46"/>
  <c r="E1653" i="46"/>
  <c r="E1652" i="46"/>
  <c r="E1651" i="46"/>
  <c r="E1650" i="46"/>
  <c r="E1649" i="46"/>
  <c r="E1648" i="46"/>
  <c r="E1647" i="46"/>
  <c r="E1646" i="46"/>
  <c r="E1645" i="46"/>
  <c r="E1644" i="46"/>
  <c r="E1643" i="46"/>
  <c r="E1642" i="46"/>
  <c r="E1641" i="46"/>
  <c r="E1640" i="46"/>
  <c r="E1639" i="46"/>
  <c r="E1638" i="46"/>
  <c r="E1637" i="46"/>
  <c r="E1636" i="46"/>
  <c r="E1635" i="46"/>
  <c r="E1634" i="46"/>
  <c r="E1633" i="46"/>
  <c r="E1632" i="46"/>
  <c r="E1631" i="46"/>
  <c r="E1630" i="46"/>
  <c r="E1629" i="46"/>
  <c r="E1628" i="46"/>
  <c r="E1627" i="46"/>
  <c r="E1626" i="46"/>
  <c r="E1625" i="46"/>
  <c r="E1624" i="46"/>
  <c r="E1623" i="46"/>
  <c r="E1622" i="46"/>
  <c r="E1621" i="46"/>
  <c r="E1620" i="46"/>
  <c r="E1619" i="46"/>
  <c r="E1618" i="46"/>
  <c r="E1617" i="46"/>
  <c r="E1616" i="46"/>
  <c r="E1615" i="46"/>
  <c r="E1614" i="46"/>
  <c r="E1613" i="46"/>
  <c r="E1612" i="46"/>
  <c r="E1611" i="46"/>
  <c r="E1610" i="46"/>
  <c r="E1609" i="46"/>
  <c r="E1608" i="46"/>
  <c r="E1607" i="46"/>
  <c r="E1606" i="46"/>
  <c r="E1605" i="46"/>
  <c r="E1604" i="46"/>
  <c r="E1603" i="46"/>
  <c r="E1602" i="46"/>
  <c r="E1601" i="46"/>
  <c r="E1600" i="46"/>
  <c r="E1599" i="46"/>
  <c r="E1598" i="46"/>
  <c r="E1597" i="46"/>
  <c r="E1596" i="46"/>
  <c r="E1595" i="46"/>
  <c r="E1594" i="46"/>
  <c r="E1593" i="46"/>
  <c r="E1592" i="46"/>
  <c r="E1591" i="46"/>
  <c r="E1590" i="46"/>
  <c r="E1589" i="46"/>
  <c r="E1588" i="46"/>
  <c r="E1587" i="46"/>
  <c r="E1586" i="46"/>
  <c r="E1585" i="46"/>
  <c r="E1584" i="46"/>
  <c r="E1583" i="46"/>
  <c r="E1582" i="46"/>
  <c r="E1581" i="46"/>
  <c r="E1580" i="46"/>
  <c r="E1579" i="46"/>
  <c r="E1578" i="46"/>
  <c r="E1577" i="46"/>
  <c r="E1576" i="46"/>
  <c r="E1575" i="46"/>
  <c r="E1574" i="46"/>
  <c r="E1573" i="46"/>
  <c r="E1572" i="46"/>
  <c r="E1571" i="46"/>
  <c r="E1570" i="46"/>
  <c r="E1569" i="46"/>
  <c r="E1568" i="46"/>
  <c r="E1567" i="46"/>
  <c r="E1566" i="46"/>
  <c r="E1565" i="46"/>
  <c r="E1564" i="46"/>
  <c r="E1563" i="46"/>
  <c r="E1562" i="46"/>
  <c r="E1561" i="46"/>
  <c r="E1560" i="46"/>
  <c r="E1559" i="46"/>
  <c r="E1558" i="46"/>
  <c r="E1557" i="46"/>
  <c r="E1556" i="46"/>
  <c r="E1555" i="46"/>
  <c r="E1554" i="46"/>
  <c r="E1553" i="46"/>
  <c r="E1552" i="46"/>
  <c r="E1551" i="46"/>
  <c r="E1550" i="46"/>
  <c r="E1549" i="46"/>
  <c r="E1548" i="46"/>
  <c r="E1547" i="46"/>
  <c r="E1546" i="46"/>
  <c r="E1545" i="46"/>
  <c r="E1544" i="46"/>
  <c r="E1543" i="46"/>
  <c r="E1542" i="46"/>
  <c r="E1541" i="46"/>
  <c r="E1540" i="46"/>
  <c r="E1539" i="46"/>
  <c r="E1538" i="46"/>
  <c r="E1537" i="46"/>
  <c r="E1536" i="46"/>
  <c r="E1535" i="46"/>
  <c r="E1534" i="46"/>
  <c r="E1533" i="46"/>
  <c r="E1532" i="46"/>
  <c r="E1531" i="46"/>
  <c r="E1530" i="46"/>
  <c r="E1529" i="46"/>
  <c r="E1528" i="46"/>
  <c r="E1527" i="46"/>
  <c r="E1526" i="46"/>
  <c r="E1525" i="46"/>
  <c r="E1524" i="46"/>
  <c r="E1523" i="46"/>
  <c r="E1522" i="46"/>
  <c r="E1521" i="46"/>
  <c r="E1520" i="46"/>
  <c r="E1519" i="46"/>
  <c r="E1518" i="46"/>
  <c r="E1517" i="46"/>
  <c r="E1516" i="46"/>
  <c r="E1515" i="46"/>
  <c r="E1514" i="46"/>
  <c r="E1513" i="46"/>
  <c r="E1512" i="46"/>
  <c r="E1511" i="46"/>
  <c r="E1510" i="46"/>
  <c r="E1509" i="46"/>
  <c r="E1508" i="46"/>
  <c r="E1507" i="46"/>
  <c r="E1506" i="46"/>
  <c r="E1505" i="46"/>
  <c r="E1504" i="46"/>
  <c r="E1503" i="46"/>
  <c r="E1502" i="46"/>
  <c r="E1501" i="46"/>
  <c r="E1500" i="46"/>
  <c r="E1499" i="46"/>
  <c r="E1498" i="46"/>
  <c r="E1497" i="46"/>
  <c r="E1496" i="46"/>
  <c r="E1495" i="46"/>
  <c r="E1494" i="46"/>
  <c r="E1493" i="46"/>
  <c r="E1492" i="46"/>
  <c r="E1491" i="46"/>
  <c r="E1490" i="46"/>
  <c r="E1489" i="46"/>
  <c r="E1488" i="46"/>
  <c r="E1487" i="46"/>
  <c r="E1486" i="46"/>
  <c r="E1485" i="46"/>
  <c r="E1484" i="46"/>
  <c r="E1483" i="46"/>
  <c r="E1482" i="46"/>
  <c r="E1481" i="46"/>
  <c r="E1480" i="46"/>
  <c r="E1479" i="46"/>
  <c r="E1478" i="46"/>
  <c r="E1477" i="46"/>
  <c r="E1476" i="46"/>
  <c r="E1475" i="46"/>
  <c r="E1474" i="46"/>
  <c r="E1473" i="46"/>
  <c r="E1472" i="46"/>
  <c r="E1471" i="46"/>
  <c r="E1470" i="46"/>
  <c r="E1469" i="46"/>
  <c r="E1468" i="46"/>
  <c r="E1467" i="46"/>
  <c r="E1466" i="46"/>
  <c r="E1465" i="46"/>
  <c r="E1464" i="46"/>
  <c r="E1463" i="46"/>
  <c r="E1462" i="46"/>
  <c r="E1461" i="46"/>
  <c r="E1460" i="46"/>
  <c r="E1459" i="46"/>
  <c r="E1458" i="46"/>
  <c r="E1457" i="46"/>
  <c r="E1456" i="46"/>
  <c r="E1455" i="46"/>
  <c r="E1454" i="46"/>
  <c r="E1453" i="46"/>
  <c r="E1452" i="46"/>
  <c r="E1451" i="46"/>
  <c r="E1450" i="46"/>
  <c r="E1449" i="46"/>
  <c r="E1448" i="46"/>
  <c r="E1447" i="46"/>
  <c r="E1446" i="46"/>
  <c r="E1445" i="46"/>
  <c r="E1444" i="46"/>
  <c r="E1443" i="46"/>
  <c r="E1442" i="46"/>
  <c r="E1441" i="46"/>
  <c r="E1440" i="46"/>
  <c r="E1439" i="46"/>
  <c r="E1438" i="46"/>
  <c r="E1437" i="46"/>
  <c r="E1436" i="46"/>
  <c r="E1435" i="46"/>
  <c r="E1434" i="46"/>
  <c r="E1433" i="46"/>
  <c r="E1432" i="46"/>
  <c r="E1431" i="46"/>
  <c r="E1430" i="46"/>
  <c r="E1429" i="46"/>
  <c r="E1428" i="46"/>
  <c r="E1427" i="46"/>
  <c r="E1426" i="46"/>
  <c r="E1425" i="46"/>
  <c r="E1424" i="46"/>
  <c r="E1423" i="46"/>
  <c r="E1422" i="46"/>
  <c r="E1421" i="46"/>
  <c r="E1420" i="46"/>
  <c r="E1419" i="46"/>
  <c r="E1418" i="46"/>
  <c r="E1417" i="46"/>
  <c r="E1416" i="46"/>
  <c r="E1415" i="46"/>
  <c r="E1414" i="46"/>
  <c r="E1413" i="46"/>
  <c r="E1412" i="46"/>
  <c r="E1411" i="46"/>
  <c r="E1410" i="46"/>
  <c r="E1409" i="46"/>
  <c r="E1408" i="46"/>
  <c r="E1407" i="46"/>
  <c r="E1406" i="46"/>
  <c r="E1405" i="46"/>
  <c r="E1404" i="46"/>
  <c r="E1403" i="46"/>
  <c r="E1402" i="46"/>
  <c r="E1401" i="46"/>
  <c r="E1400" i="46"/>
  <c r="E1399" i="46"/>
  <c r="E1398" i="46"/>
  <c r="E1397" i="46"/>
  <c r="E1396" i="46"/>
  <c r="E1395" i="46"/>
  <c r="E1394" i="46"/>
  <c r="E1393" i="46"/>
  <c r="E1392" i="46"/>
  <c r="E1391" i="46"/>
  <c r="E1390" i="46"/>
  <c r="E1389" i="46"/>
  <c r="E1388" i="46"/>
  <c r="E1387" i="46"/>
  <c r="E1386" i="46"/>
  <c r="E1385" i="46"/>
  <c r="E1384" i="46"/>
  <c r="E1383" i="46"/>
  <c r="E1382" i="46"/>
  <c r="E1381" i="46"/>
  <c r="E1380" i="46"/>
  <c r="E1379" i="46"/>
  <c r="E1378" i="46"/>
  <c r="E1377" i="46"/>
  <c r="E1376" i="46"/>
  <c r="E1375" i="46"/>
  <c r="E1374" i="46"/>
  <c r="E1373" i="46"/>
  <c r="E1372" i="46"/>
  <c r="E1371" i="46"/>
  <c r="E1370" i="46"/>
  <c r="E1369" i="46"/>
  <c r="E1368" i="46"/>
  <c r="E1367" i="46"/>
  <c r="E1366" i="46"/>
  <c r="E1365" i="46"/>
  <c r="E1364" i="46"/>
  <c r="E1363" i="46"/>
  <c r="E1362" i="46"/>
  <c r="E1361" i="46"/>
  <c r="E1360" i="46"/>
  <c r="E1359" i="46"/>
  <c r="E1358" i="46"/>
  <c r="E1357" i="46"/>
  <c r="E1356" i="46"/>
  <c r="E1355" i="46"/>
  <c r="E1354" i="46"/>
  <c r="E1353" i="46"/>
  <c r="E1352" i="46"/>
  <c r="E1351" i="46"/>
  <c r="E1350" i="46"/>
  <c r="E1349" i="46"/>
  <c r="E1348" i="46"/>
  <c r="E1347" i="46"/>
  <c r="E1346" i="46"/>
  <c r="E1345" i="46"/>
  <c r="E1344" i="46"/>
  <c r="E1343" i="46"/>
  <c r="E1342" i="46"/>
  <c r="E1341" i="46"/>
  <c r="E1340" i="46"/>
  <c r="E1339" i="46"/>
  <c r="E1338" i="46"/>
  <c r="E1337" i="46"/>
  <c r="E1336" i="46"/>
  <c r="E1335" i="46"/>
  <c r="E1334" i="46"/>
  <c r="E1333" i="46"/>
  <c r="E1332" i="46"/>
  <c r="E1331" i="46"/>
  <c r="E1330" i="46"/>
  <c r="E1329" i="46"/>
  <c r="E1328" i="46"/>
  <c r="E1327" i="46"/>
  <c r="E1326" i="46"/>
  <c r="E1325" i="46"/>
  <c r="E1324" i="46"/>
  <c r="E1323" i="46"/>
  <c r="E1322" i="46"/>
  <c r="E1321" i="46"/>
  <c r="E1320" i="46"/>
  <c r="E1319" i="46"/>
  <c r="E1318" i="46"/>
  <c r="E1317" i="46"/>
  <c r="E1316" i="46"/>
  <c r="E1315" i="46"/>
  <c r="E1314" i="46"/>
  <c r="E1313" i="46"/>
  <c r="E1312" i="46"/>
  <c r="E1311" i="46"/>
  <c r="E1310" i="46"/>
  <c r="E1309" i="46"/>
  <c r="E1308" i="46"/>
  <c r="E1307" i="46"/>
  <c r="E1306" i="46"/>
  <c r="E1305" i="46"/>
  <c r="E1304" i="46"/>
  <c r="E1303" i="46"/>
  <c r="E1302" i="46"/>
  <c r="E1301" i="46"/>
  <c r="E1300" i="46"/>
  <c r="E1299" i="46"/>
  <c r="E1298" i="46"/>
  <c r="E1297" i="46"/>
  <c r="E1296" i="46"/>
  <c r="E1295" i="46"/>
  <c r="E1294" i="46"/>
  <c r="E1293" i="46"/>
  <c r="E1292" i="46"/>
  <c r="E1291" i="46"/>
  <c r="E1290" i="46"/>
  <c r="E1289" i="46"/>
  <c r="E1288" i="46"/>
  <c r="E1287" i="46"/>
  <c r="E1286" i="46"/>
  <c r="E1285" i="46"/>
  <c r="E1284" i="46"/>
  <c r="E1283" i="46"/>
  <c r="E1282" i="46"/>
  <c r="E1281" i="46"/>
  <c r="E1280" i="46"/>
  <c r="E1279" i="46"/>
  <c r="E1278" i="46"/>
  <c r="E1277" i="46"/>
  <c r="E1276" i="46"/>
  <c r="E1275" i="46"/>
  <c r="E1274" i="46"/>
  <c r="E1273" i="46"/>
  <c r="E1272" i="46"/>
  <c r="E1271" i="46"/>
  <c r="E1270" i="46"/>
  <c r="E1269" i="46"/>
  <c r="E1268" i="46"/>
  <c r="E1267" i="46"/>
  <c r="E1266" i="46"/>
  <c r="E1265" i="46"/>
  <c r="E1264" i="46"/>
  <c r="E1263" i="46"/>
  <c r="E1262" i="46"/>
  <c r="E1261" i="46"/>
  <c r="E1260" i="46"/>
  <c r="E1259" i="46"/>
  <c r="E1258" i="46"/>
  <c r="E1257" i="46"/>
  <c r="E1256" i="46"/>
  <c r="E1255" i="46"/>
  <c r="E1254" i="46"/>
  <c r="E1253" i="46"/>
  <c r="E1252" i="46"/>
  <c r="E1251" i="46"/>
  <c r="E1250" i="46"/>
  <c r="E1249" i="46"/>
  <c r="E1248" i="46"/>
  <c r="E1247" i="46"/>
  <c r="E1246" i="46"/>
  <c r="E1245" i="46"/>
  <c r="E1244" i="46"/>
  <c r="E1243" i="46"/>
  <c r="E1242" i="46"/>
  <c r="E1241" i="46"/>
  <c r="E1240" i="46"/>
  <c r="E1239" i="46"/>
  <c r="E1238" i="46"/>
  <c r="E1237" i="46"/>
  <c r="E1236" i="46"/>
  <c r="E1235" i="46"/>
  <c r="E1234" i="46"/>
  <c r="E1233" i="46"/>
  <c r="E1232" i="46"/>
  <c r="E1231" i="46"/>
  <c r="E1230" i="46"/>
  <c r="E1229" i="46"/>
  <c r="E1228" i="46"/>
  <c r="E1227" i="46"/>
  <c r="E1226" i="46"/>
  <c r="E1225" i="46"/>
  <c r="E1224" i="46"/>
  <c r="E1223" i="46"/>
  <c r="E1222" i="46"/>
  <c r="E1221" i="46"/>
  <c r="E1220" i="46"/>
  <c r="E1219" i="46"/>
  <c r="E1218" i="46"/>
  <c r="E1217" i="46"/>
  <c r="E1216" i="46"/>
  <c r="E1215" i="46"/>
  <c r="E1214" i="46"/>
  <c r="E1213" i="46"/>
  <c r="E1212" i="46"/>
  <c r="E1211" i="46"/>
  <c r="E1210" i="46"/>
  <c r="E1209" i="46"/>
  <c r="E1208" i="46"/>
  <c r="E1207" i="46"/>
  <c r="E1206" i="46"/>
  <c r="E1205" i="46"/>
  <c r="E1204" i="46"/>
  <c r="E1203" i="46"/>
  <c r="E1202" i="46"/>
  <c r="E1201" i="46"/>
  <c r="E1200" i="46"/>
  <c r="E1199" i="46"/>
  <c r="E1198" i="46"/>
  <c r="E1197" i="46"/>
  <c r="E1196" i="46"/>
  <c r="E1195" i="46"/>
  <c r="E1194" i="46"/>
  <c r="E1193" i="46"/>
  <c r="E1192" i="46"/>
  <c r="E1191" i="46"/>
  <c r="E1190" i="46"/>
  <c r="E1189" i="46"/>
  <c r="E1188" i="46"/>
  <c r="E1187" i="46"/>
  <c r="E1186" i="46"/>
  <c r="E1185" i="46"/>
  <c r="E1184" i="46"/>
  <c r="E1183" i="46"/>
  <c r="E1182" i="46"/>
  <c r="E1181" i="46"/>
  <c r="E1180" i="46"/>
  <c r="E1179" i="46"/>
  <c r="E1178" i="46"/>
  <c r="E1177" i="46"/>
  <c r="E1176" i="46"/>
  <c r="E1175" i="46"/>
  <c r="E1174" i="46"/>
  <c r="E1173" i="46"/>
  <c r="E1172" i="46"/>
  <c r="E1171" i="46"/>
  <c r="E1170" i="46"/>
  <c r="E1169" i="46"/>
  <c r="E1168" i="46"/>
  <c r="E1167" i="46"/>
  <c r="E1166" i="46"/>
  <c r="E1165" i="46"/>
  <c r="E1164" i="46"/>
  <c r="E1163" i="46"/>
  <c r="E1162" i="46"/>
  <c r="E1161" i="46"/>
  <c r="E1160" i="46"/>
  <c r="E1159" i="46"/>
  <c r="E1158" i="46"/>
  <c r="E1157" i="46"/>
  <c r="E1156" i="46"/>
  <c r="E1155" i="46"/>
  <c r="E1154" i="46"/>
  <c r="E1153" i="46"/>
  <c r="E1152" i="46"/>
  <c r="E1151" i="46"/>
  <c r="E1150" i="46"/>
  <c r="E1149" i="46"/>
  <c r="E1148" i="46"/>
  <c r="E1147" i="46"/>
  <c r="E1146" i="46"/>
  <c r="E1145" i="46"/>
  <c r="E1144" i="46"/>
  <c r="E1143" i="46"/>
  <c r="E1142" i="46"/>
  <c r="E1141" i="46"/>
  <c r="E1140" i="46"/>
  <c r="E1139" i="46"/>
  <c r="E1138" i="46"/>
  <c r="E1137" i="46"/>
  <c r="E1136" i="46"/>
  <c r="E1135" i="46"/>
  <c r="E1134" i="46"/>
  <c r="E1133" i="46"/>
  <c r="E1132" i="46"/>
  <c r="E1131" i="46"/>
  <c r="E1130" i="46"/>
  <c r="E1129" i="46"/>
  <c r="E1128" i="46"/>
  <c r="E1127" i="46"/>
  <c r="E1126" i="46"/>
  <c r="E1125" i="46"/>
  <c r="E1124" i="46"/>
  <c r="E1123" i="46"/>
  <c r="E1122" i="46"/>
  <c r="E1121" i="46"/>
  <c r="E1120" i="46"/>
  <c r="E1119" i="46"/>
  <c r="E1118" i="46"/>
  <c r="E1117" i="46"/>
  <c r="E1116" i="46"/>
  <c r="E1115" i="46"/>
  <c r="E1114" i="46"/>
  <c r="E1113" i="46"/>
  <c r="E1112" i="46"/>
  <c r="E1111" i="46"/>
  <c r="E1110" i="46"/>
  <c r="E1109" i="46"/>
  <c r="E1108" i="46"/>
  <c r="E1107" i="46"/>
  <c r="E1106" i="46"/>
  <c r="E1105" i="46"/>
  <c r="E1104" i="46"/>
  <c r="E1103" i="46"/>
  <c r="E1102" i="46"/>
  <c r="E1101" i="46"/>
  <c r="E1100" i="46"/>
  <c r="E1099" i="46"/>
  <c r="E1098" i="46"/>
  <c r="E1097" i="46"/>
  <c r="E1096" i="46"/>
  <c r="E1095" i="46"/>
  <c r="E1094" i="46"/>
  <c r="E1093" i="46"/>
  <c r="E1092" i="46"/>
  <c r="E1091" i="46"/>
  <c r="E1090" i="46"/>
  <c r="E1089" i="46"/>
  <c r="E1088" i="46"/>
  <c r="E1087" i="46"/>
  <c r="E1086" i="46"/>
  <c r="E1085" i="46"/>
  <c r="E1084" i="46"/>
  <c r="E1083" i="46"/>
  <c r="E1082" i="46"/>
  <c r="E1081" i="46"/>
  <c r="E1080" i="46"/>
  <c r="E1079" i="46"/>
  <c r="E1078" i="46"/>
  <c r="E1077" i="46"/>
  <c r="E1076" i="46"/>
  <c r="E1075" i="46"/>
  <c r="E1074" i="46"/>
  <c r="E1073" i="46"/>
  <c r="E1072" i="46"/>
  <c r="E1071" i="46"/>
  <c r="E1070" i="46"/>
  <c r="E1069" i="46"/>
  <c r="E1068" i="46"/>
  <c r="E1067" i="46"/>
  <c r="E1066" i="46"/>
  <c r="E1065" i="46"/>
  <c r="E1064" i="46"/>
  <c r="E1063" i="46"/>
  <c r="E1062" i="46"/>
  <c r="E1061" i="46"/>
  <c r="E1060" i="46"/>
  <c r="E1059" i="46"/>
  <c r="E1058" i="46"/>
  <c r="E1057" i="46"/>
  <c r="E1056" i="46"/>
  <c r="E1055" i="46"/>
  <c r="E1054" i="46"/>
  <c r="E1053" i="46"/>
  <c r="E1052" i="46"/>
  <c r="E1051" i="46"/>
  <c r="E1050" i="46"/>
  <c r="E1049" i="46"/>
  <c r="E1048" i="46"/>
  <c r="E1047" i="46"/>
  <c r="E1046" i="46"/>
  <c r="E1045" i="46"/>
  <c r="E1044" i="46"/>
  <c r="E1043" i="46"/>
  <c r="E1042" i="46"/>
  <c r="E1041" i="46"/>
  <c r="E1040" i="46"/>
  <c r="E1039" i="46"/>
  <c r="E1038" i="46"/>
  <c r="E1037" i="46"/>
  <c r="E1036" i="46"/>
  <c r="E1035" i="46"/>
  <c r="E1034" i="46"/>
  <c r="E1033" i="46"/>
  <c r="E1032" i="46"/>
  <c r="E1031" i="46"/>
  <c r="E1030" i="46"/>
  <c r="E1029" i="46"/>
  <c r="E1028" i="46"/>
  <c r="E1027" i="46"/>
  <c r="E1026" i="46"/>
  <c r="E1025" i="46"/>
  <c r="E1024" i="46"/>
  <c r="E1023" i="46"/>
  <c r="E1022" i="46"/>
  <c r="E1021" i="46"/>
  <c r="E1020" i="46"/>
  <c r="E1019" i="46"/>
  <c r="E1018" i="46"/>
  <c r="E1017" i="46"/>
  <c r="E1016" i="46"/>
  <c r="E1015" i="46"/>
  <c r="E1014" i="46"/>
  <c r="E1013" i="46"/>
  <c r="E1012" i="46"/>
  <c r="E1011" i="46"/>
  <c r="E1010" i="46"/>
  <c r="E1009" i="46"/>
  <c r="E1008" i="46"/>
  <c r="E1007" i="46"/>
  <c r="E1006" i="46"/>
  <c r="E1005" i="46"/>
  <c r="E1004" i="46"/>
  <c r="E1003" i="46"/>
  <c r="E1002" i="46"/>
  <c r="E1001" i="46"/>
  <c r="E1000" i="46"/>
  <c r="E999" i="46"/>
  <c r="E998" i="46"/>
  <c r="E997" i="46"/>
  <c r="E996" i="46"/>
  <c r="E995" i="46"/>
  <c r="E994" i="46"/>
  <c r="E993" i="46"/>
  <c r="E992" i="46"/>
  <c r="E991" i="46"/>
  <c r="E990" i="46"/>
  <c r="E989" i="46"/>
  <c r="E988" i="46"/>
  <c r="E987" i="46"/>
  <c r="E986" i="46"/>
  <c r="E985" i="46"/>
  <c r="E984" i="46"/>
  <c r="E983" i="46"/>
  <c r="E982" i="46"/>
  <c r="E981" i="46"/>
  <c r="E980" i="46"/>
  <c r="E979" i="46"/>
  <c r="E978" i="46"/>
  <c r="E977" i="46"/>
  <c r="E976" i="46"/>
  <c r="E975" i="46"/>
  <c r="E974" i="46"/>
  <c r="E973" i="46"/>
  <c r="E972" i="46"/>
  <c r="E971" i="46"/>
  <c r="E970" i="46"/>
  <c r="E969" i="46"/>
  <c r="E968" i="46"/>
  <c r="E967" i="46"/>
  <c r="E966" i="46"/>
  <c r="E965" i="46"/>
  <c r="E964" i="46"/>
  <c r="E963" i="46"/>
  <c r="E962" i="46"/>
  <c r="E961" i="46"/>
  <c r="E960" i="46"/>
  <c r="E959" i="46"/>
  <c r="E958" i="46"/>
  <c r="E957" i="46"/>
  <c r="E956" i="46"/>
  <c r="E955" i="46"/>
  <c r="E954" i="46"/>
  <c r="E953" i="46"/>
  <c r="E952" i="46"/>
  <c r="E951" i="46"/>
  <c r="E950" i="46"/>
  <c r="E949" i="46"/>
  <c r="E948" i="46"/>
  <c r="E947" i="46"/>
  <c r="E946" i="46"/>
  <c r="E945" i="46"/>
  <c r="E944" i="46"/>
  <c r="E943" i="46"/>
  <c r="E942" i="46"/>
  <c r="E941" i="46"/>
  <c r="E940" i="46"/>
  <c r="E939" i="46"/>
  <c r="E938" i="46"/>
  <c r="E937" i="46"/>
  <c r="E936" i="46"/>
  <c r="E935" i="46"/>
  <c r="E934" i="46"/>
  <c r="E933" i="46"/>
  <c r="E932" i="46"/>
  <c r="E931" i="46"/>
  <c r="E930" i="46"/>
  <c r="E929" i="46"/>
  <c r="E928" i="46"/>
  <c r="E927" i="46"/>
  <c r="E926" i="46"/>
  <c r="E925" i="46"/>
  <c r="E924" i="46"/>
  <c r="E923" i="46"/>
  <c r="E922" i="46"/>
  <c r="E921" i="46"/>
  <c r="E920" i="46"/>
  <c r="E919" i="46"/>
  <c r="E918" i="46"/>
  <c r="E917" i="46"/>
  <c r="E916" i="46"/>
  <c r="E915" i="46"/>
  <c r="E914" i="46"/>
  <c r="E913" i="46"/>
  <c r="E912" i="46"/>
  <c r="E911" i="46"/>
  <c r="E910" i="46"/>
  <c r="E909" i="46"/>
  <c r="E908" i="46"/>
  <c r="E907" i="46"/>
  <c r="E906" i="46"/>
  <c r="E905" i="46"/>
  <c r="E904" i="46"/>
  <c r="E903" i="46"/>
  <c r="E902" i="46"/>
  <c r="E901" i="46"/>
  <c r="E900" i="46"/>
  <c r="E899" i="46"/>
  <c r="E898" i="46"/>
  <c r="E897" i="46"/>
  <c r="E896" i="46"/>
  <c r="E895" i="46"/>
  <c r="E894" i="46"/>
  <c r="E893" i="46"/>
  <c r="E892" i="46"/>
  <c r="E891" i="46"/>
  <c r="E890" i="46"/>
  <c r="E889" i="46"/>
  <c r="E888" i="46"/>
  <c r="E887" i="46"/>
  <c r="E886" i="46"/>
  <c r="E885" i="46"/>
  <c r="E884" i="46"/>
  <c r="E883" i="46"/>
  <c r="E882" i="46"/>
  <c r="E881" i="46"/>
  <c r="E880" i="46"/>
  <c r="E879" i="46"/>
  <c r="E878" i="46"/>
  <c r="E877" i="46"/>
  <c r="E876" i="46"/>
  <c r="E875" i="46"/>
  <c r="E874" i="46"/>
  <c r="E873" i="46"/>
  <c r="E872" i="46"/>
  <c r="E871" i="46"/>
  <c r="E870" i="46"/>
  <c r="E869" i="46"/>
  <c r="E868" i="46"/>
  <c r="E867" i="46"/>
  <c r="E866" i="46"/>
  <c r="E865" i="46"/>
  <c r="E864" i="46"/>
  <c r="E863" i="46"/>
  <c r="E862" i="46"/>
  <c r="E861" i="46"/>
  <c r="E860" i="46"/>
  <c r="E859" i="46"/>
  <c r="E858" i="46"/>
  <c r="E857" i="46"/>
  <c r="E856" i="46"/>
  <c r="E855" i="46"/>
  <c r="E854" i="46"/>
  <c r="E853" i="46"/>
  <c r="E852" i="46"/>
  <c r="E851" i="46"/>
  <c r="E850" i="46"/>
  <c r="E849" i="46"/>
  <c r="E848" i="46"/>
  <c r="E847" i="46"/>
  <c r="E846" i="46"/>
  <c r="E845" i="46"/>
  <c r="E844" i="46"/>
  <c r="E843" i="46"/>
  <c r="E842" i="46"/>
  <c r="E841" i="46"/>
  <c r="E840" i="46"/>
  <c r="E839" i="46"/>
  <c r="E838" i="46"/>
  <c r="E837" i="46"/>
  <c r="E836" i="46"/>
  <c r="E835" i="46"/>
  <c r="E834" i="46"/>
  <c r="E833" i="46"/>
  <c r="E832" i="46"/>
  <c r="E831" i="46"/>
  <c r="E830" i="46"/>
  <c r="E829" i="46"/>
  <c r="E828" i="46"/>
  <c r="E827" i="46"/>
  <c r="E826" i="46"/>
  <c r="E825" i="46"/>
  <c r="E824" i="46"/>
  <c r="E823" i="46"/>
  <c r="E822" i="46"/>
  <c r="E821" i="46"/>
  <c r="E820" i="46"/>
  <c r="E819" i="46"/>
  <c r="E818" i="46"/>
  <c r="E817" i="46"/>
  <c r="E816" i="46"/>
  <c r="E815" i="46"/>
  <c r="E814" i="46"/>
  <c r="E813" i="46"/>
  <c r="E812" i="46"/>
  <c r="E811" i="46"/>
  <c r="E810" i="46"/>
  <c r="E809" i="46"/>
  <c r="E808" i="46"/>
  <c r="E807" i="46"/>
  <c r="E806" i="46"/>
  <c r="E805" i="46"/>
  <c r="E804" i="46"/>
  <c r="E803" i="46"/>
  <c r="E802" i="46"/>
  <c r="E801" i="46"/>
  <c r="E800" i="46"/>
  <c r="E799" i="46"/>
  <c r="E798" i="46"/>
  <c r="E797" i="46"/>
  <c r="E796" i="46"/>
  <c r="E795" i="46"/>
  <c r="E794" i="46"/>
  <c r="E793" i="46"/>
  <c r="E792" i="46"/>
  <c r="E791" i="46"/>
  <c r="E790" i="46"/>
  <c r="E789" i="46"/>
  <c r="E788" i="46"/>
  <c r="E787" i="46"/>
  <c r="E786" i="46"/>
  <c r="E785" i="46"/>
  <c r="E784" i="46"/>
  <c r="E783" i="46"/>
  <c r="E782" i="46"/>
  <c r="E781" i="46"/>
  <c r="E780" i="46"/>
  <c r="E779" i="46"/>
  <c r="E778" i="46"/>
  <c r="E777" i="46"/>
  <c r="E776" i="46"/>
  <c r="E775" i="46"/>
  <c r="E774" i="46"/>
  <c r="E773" i="46"/>
  <c r="E772" i="46"/>
  <c r="E771" i="46"/>
  <c r="E770" i="46"/>
  <c r="E769" i="46"/>
  <c r="E768" i="46"/>
  <c r="E767" i="46"/>
  <c r="E766" i="46"/>
  <c r="E765" i="46"/>
  <c r="E764" i="46"/>
  <c r="E763" i="46"/>
  <c r="E762" i="46"/>
  <c r="E761" i="46"/>
  <c r="E760" i="46"/>
  <c r="E759" i="46"/>
  <c r="E758" i="46"/>
  <c r="E757" i="46"/>
  <c r="E756" i="46"/>
  <c r="E755" i="46"/>
  <c r="E754" i="46"/>
  <c r="E753" i="46"/>
  <c r="E752" i="46"/>
  <c r="E751" i="46"/>
  <c r="E750" i="46"/>
  <c r="E749" i="46"/>
  <c r="E748" i="46"/>
  <c r="E747" i="46"/>
  <c r="E746" i="46"/>
  <c r="E745" i="46"/>
  <c r="E744" i="46"/>
  <c r="E743" i="46"/>
  <c r="E742" i="46"/>
  <c r="E741" i="46"/>
  <c r="E740" i="46"/>
  <c r="E739" i="46"/>
  <c r="E738" i="46"/>
  <c r="E737" i="46"/>
  <c r="E736" i="46"/>
  <c r="E735" i="46"/>
  <c r="E734" i="46"/>
  <c r="E733" i="46"/>
  <c r="E732" i="46"/>
  <c r="E731" i="46"/>
  <c r="E730" i="46"/>
  <c r="E729" i="46"/>
  <c r="E728" i="46"/>
  <c r="E727" i="46"/>
  <c r="E726" i="46"/>
  <c r="E725" i="46"/>
  <c r="E724" i="46"/>
  <c r="E723" i="46"/>
  <c r="E722" i="46"/>
  <c r="E721" i="46"/>
  <c r="E720" i="46"/>
  <c r="E719" i="46"/>
  <c r="E718" i="46"/>
  <c r="E717" i="46"/>
  <c r="E716" i="46"/>
  <c r="E715" i="46"/>
  <c r="E714" i="46"/>
  <c r="E713" i="46"/>
  <c r="E712" i="46"/>
  <c r="E711" i="46"/>
  <c r="E710" i="46"/>
  <c r="E709" i="46"/>
  <c r="E708" i="46"/>
  <c r="E707" i="46"/>
  <c r="E706" i="46"/>
  <c r="E705" i="46"/>
  <c r="E704" i="46"/>
  <c r="E703" i="46"/>
  <c r="E702" i="46"/>
  <c r="E701" i="46"/>
  <c r="E700" i="46"/>
  <c r="E699" i="46"/>
  <c r="E698" i="46"/>
  <c r="E697" i="46"/>
  <c r="E696" i="46"/>
  <c r="E695" i="46"/>
  <c r="E694" i="46"/>
  <c r="E693" i="46"/>
  <c r="E692" i="46"/>
  <c r="E691" i="46"/>
  <c r="E690" i="46"/>
  <c r="E689" i="46"/>
  <c r="E688" i="46"/>
  <c r="E687" i="46"/>
  <c r="E686" i="46"/>
  <c r="E685" i="46"/>
  <c r="E684" i="46"/>
  <c r="E683" i="46"/>
  <c r="E682" i="46"/>
  <c r="E681" i="46"/>
  <c r="E680" i="46"/>
  <c r="E679" i="46"/>
  <c r="E678" i="46"/>
  <c r="E677" i="46"/>
  <c r="E676" i="46"/>
  <c r="E675" i="46"/>
  <c r="E674" i="46"/>
  <c r="E673" i="46"/>
  <c r="E672" i="46"/>
  <c r="E671" i="46"/>
  <c r="E670" i="46"/>
  <c r="E669" i="46"/>
  <c r="E668" i="46"/>
  <c r="E667" i="46"/>
  <c r="E666" i="46"/>
  <c r="E665" i="46"/>
  <c r="E664" i="46"/>
  <c r="E663" i="46"/>
  <c r="E662" i="46"/>
  <c r="E661" i="46"/>
  <c r="E660" i="46"/>
  <c r="E659" i="46"/>
  <c r="E658" i="46"/>
  <c r="E657" i="46"/>
  <c r="E656" i="46"/>
  <c r="E655" i="46"/>
  <c r="E654" i="46"/>
  <c r="E653" i="46"/>
  <c r="E652" i="46"/>
  <c r="E651" i="46"/>
  <c r="E650" i="46"/>
  <c r="E649" i="46"/>
  <c r="E648" i="46"/>
  <c r="E647" i="46"/>
  <c r="E646" i="46"/>
  <c r="E645" i="46"/>
  <c r="E644" i="46"/>
  <c r="E643" i="46"/>
  <c r="E642" i="46"/>
  <c r="E641" i="46"/>
  <c r="E640" i="46"/>
  <c r="E639" i="46"/>
  <c r="E638" i="46"/>
  <c r="E637" i="46"/>
  <c r="E636" i="46"/>
  <c r="E635" i="46"/>
  <c r="E634" i="46"/>
  <c r="E633" i="46"/>
  <c r="E632" i="46"/>
  <c r="E631" i="46"/>
  <c r="E630" i="46"/>
  <c r="E629" i="46"/>
  <c r="E628" i="46"/>
  <c r="E627" i="46"/>
  <c r="E626" i="46"/>
  <c r="E625" i="46"/>
  <c r="E624" i="46"/>
  <c r="E623" i="46"/>
  <c r="E622" i="46"/>
  <c r="E621" i="46"/>
  <c r="E620" i="46"/>
  <c r="E619" i="46"/>
  <c r="E618" i="46"/>
  <c r="E617" i="46"/>
  <c r="E616" i="46"/>
  <c r="E615" i="46"/>
  <c r="E614" i="46"/>
  <c r="E613" i="46"/>
  <c r="E612" i="46"/>
  <c r="E611" i="46"/>
  <c r="E610" i="46"/>
  <c r="E609" i="46"/>
  <c r="E608" i="46"/>
  <c r="E607" i="46"/>
  <c r="E606" i="46"/>
  <c r="E605" i="46"/>
  <c r="E604" i="46"/>
  <c r="E603" i="46"/>
  <c r="E602" i="46"/>
  <c r="E601" i="46"/>
  <c r="E600" i="46"/>
  <c r="E599" i="46"/>
  <c r="E598" i="46"/>
  <c r="E597" i="46"/>
  <c r="E596" i="46"/>
  <c r="E595" i="46"/>
  <c r="E594" i="46"/>
  <c r="E593" i="46"/>
  <c r="E592" i="46"/>
  <c r="E591" i="46"/>
  <c r="E590" i="46"/>
  <c r="E589" i="46"/>
  <c r="E588" i="46"/>
  <c r="E587" i="46"/>
  <c r="E586" i="46"/>
  <c r="E585" i="46"/>
  <c r="E584" i="46"/>
  <c r="E583" i="46"/>
  <c r="E582" i="46"/>
  <c r="E581" i="46"/>
  <c r="E580" i="46"/>
  <c r="E579" i="46"/>
  <c r="E578" i="46"/>
  <c r="E577" i="46"/>
  <c r="E576" i="46"/>
  <c r="E575" i="46"/>
  <c r="E574" i="46"/>
  <c r="E573" i="46"/>
  <c r="E572" i="46"/>
  <c r="E571" i="46"/>
  <c r="E570" i="46"/>
  <c r="E569" i="46"/>
  <c r="E568" i="46"/>
  <c r="E567" i="46"/>
  <c r="E566" i="46"/>
  <c r="E565" i="46"/>
  <c r="E564" i="46"/>
  <c r="E563" i="46"/>
  <c r="E562" i="46"/>
  <c r="E561" i="46"/>
  <c r="E560" i="46"/>
  <c r="E559" i="46"/>
  <c r="E558" i="46"/>
  <c r="E557" i="46"/>
  <c r="E556" i="46"/>
  <c r="E555" i="46"/>
  <c r="E554" i="46"/>
  <c r="E553" i="46"/>
  <c r="E552" i="46"/>
  <c r="E551" i="46"/>
  <c r="E550" i="46"/>
  <c r="E549" i="46"/>
  <c r="E548" i="46"/>
  <c r="E547" i="46"/>
  <c r="E546" i="46"/>
  <c r="E545" i="46"/>
  <c r="E544" i="46"/>
  <c r="E543" i="46"/>
  <c r="E542" i="46"/>
  <c r="E541" i="46"/>
  <c r="E540" i="46"/>
  <c r="E539" i="46"/>
  <c r="E538" i="46"/>
  <c r="E537" i="46"/>
  <c r="E536" i="46"/>
  <c r="E535" i="46"/>
  <c r="E534" i="46"/>
  <c r="E533" i="46"/>
  <c r="E532" i="46"/>
  <c r="E531" i="46"/>
  <c r="E530" i="46"/>
  <c r="E529" i="46"/>
  <c r="E528" i="46"/>
  <c r="E527" i="46"/>
  <c r="E526" i="46"/>
  <c r="E525" i="46"/>
  <c r="E524" i="46"/>
  <c r="E523" i="46"/>
  <c r="E522" i="46"/>
  <c r="E521" i="46"/>
  <c r="E520" i="46"/>
  <c r="E519" i="46"/>
  <c r="E518" i="46"/>
  <c r="E517" i="46"/>
  <c r="E516" i="46"/>
  <c r="E515" i="46"/>
  <c r="E514" i="46"/>
  <c r="E513" i="46"/>
  <c r="E512" i="46"/>
  <c r="E511" i="46"/>
  <c r="E510" i="46"/>
  <c r="E509" i="46"/>
  <c r="E508" i="46"/>
  <c r="E507" i="46"/>
  <c r="E506" i="46"/>
  <c r="E505" i="46"/>
  <c r="E504" i="46"/>
  <c r="E503" i="46"/>
  <c r="E502" i="46"/>
  <c r="E501" i="46"/>
  <c r="E500" i="46"/>
  <c r="E499" i="46"/>
  <c r="E498" i="46"/>
  <c r="E497" i="46"/>
  <c r="E496" i="46"/>
  <c r="E495" i="46"/>
  <c r="E494" i="46"/>
  <c r="E493" i="46"/>
  <c r="E492" i="46"/>
  <c r="E491" i="46"/>
  <c r="E490" i="46"/>
  <c r="E489" i="46"/>
  <c r="E488" i="46"/>
  <c r="E487" i="46"/>
  <c r="E486" i="46"/>
  <c r="E485" i="46"/>
  <c r="E484" i="46"/>
  <c r="E483" i="46"/>
  <c r="E482" i="46"/>
  <c r="E481" i="46"/>
  <c r="E480" i="46"/>
  <c r="E479" i="46"/>
  <c r="E478" i="46"/>
  <c r="E477" i="46"/>
  <c r="E476" i="46"/>
  <c r="E475" i="46"/>
  <c r="E474" i="46"/>
  <c r="E473" i="46"/>
  <c r="E472" i="46"/>
  <c r="E471" i="46"/>
  <c r="E470" i="46"/>
  <c r="E469" i="46"/>
  <c r="E468" i="46"/>
  <c r="E467" i="46"/>
  <c r="E466" i="46"/>
  <c r="E465" i="46"/>
  <c r="E464" i="46"/>
  <c r="E463" i="46"/>
  <c r="E462" i="46"/>
  <c r="E461" i="46"/>
  <c r="E460" i="46"/>
  <c r="E459" i="46"/>
  <c r="E458" i="46"/>
  <c r="E457" i="46"/>
  <c r="E456" i="46"/>
  <c r="E455" i="46"/>
  <c r="E454" i="46"/>
  <c r="E453" i="46"/>
  <c r="E452" i="46"/>
  <c r="E451" i="46"/>
  <c r="E450" i="46"/>
  <c r="E449" i="46"/>
  <c r="E448" i="46"/>
  <c r="E447" i="46"/>
  <c r="E446" i="46"/>
  <c r="E445" i="46"/>
  <c r="E444" i="46"/>
  <c r="E443" i="46"/>
  <c r="E442" i="46"/>
  <c r="E441" i="46"/>
  <c r="E440" i="46"/>
  <c r="E439" i="46"/>
  <c r="E438" i="46"/>
  <c r="E437" i="46"/>
  <c r="E436" i="46"/>
  <c r="E435" i="46"/>
  <c r="E434" i="46"/>
  <c r="E433" i="46"/>
  <c r="E432" i="46"/>
  <c r="E431" i="46"/>
  <c r="E430" i="46"/>
  <c r="E429" i="46"/>
  <c r="E428" i="46"/>
  <c r="E427" i="46"/>
  <c r="E426" i="46"/>
  <c r="E425" i="46"/>
  <c r="E424" i="46"/>
  <c r="E423" i="46"/>
  <c r="E422" i="46"/>
  <c r="E421" i="46"/>
  <c r="E420" i="46"/>
  <c r="E419" i="46"/>
  <c r="E418" i="46"/>
  <c r="E417" i="46"/>
  <c r="E416" i="46"/>
  <c r="E415" i="46"/>
  <c r="E414" i="46"/>
  <c r="E413" i="46"/>
  <c r="E412" i="46"/>
  <c r="E411" i="46"/>
  <c r="E410" i="46"/>
  <c r="E409" i="46"/>
  <c r="E408" i="46"/>
  <c r="E407" i="46"/>
  <c r="E406" i="46"/>
  <c r="E405" i="46"/>
  <c r="E404" i="46"/>
  <c r="E403" i="46"/>
  <c r="E402" i="46"/>
  <c r="E401" i="46"/>
  <c r="E400" i="46"/>
  <c r="E399" i="46"/>
  <c r="E398" i="46"/>
  <c r="E397" i="46"/>
  <c r="E396" i="46"/>
  <c r="E395" i="46"/>
  <c r="E394" i="46"/>
  <c r="E393" i="46"/>
  <c r="E392" i="46"/>
  <c r="E391" i="46"/>
  <c r="E390" i="46"/>
  <c r="E389" i="46"/>
  <c r="E388" i="46"/>
  <c r="E387" i="46"/>
  <c r="E386" i="46"/>
  <c r="E385" i="46"/>
  <c r="E384" i="46"/>
  <c r="E383" i="46"/>
  <c r="E382" i="46"/>
  <c r="E381" i="46"/>
  <c r="E380" i="46"/>
  <c r="E379" i="46"/>
  <c r="E378" i="46"/>
  <c r="E377" i="46"/>
  <c r="E376" i="46"/>
  <c r="E375" i="46"/>
  <c r="E374" i="46"/>
  <c r="E373" i="46"/>
  <c r="E372" i="46"/>
  <c r="E371" i="46"/>
  <c r="E370" i="46"/>
  <c r="E369" i="46"/>
  <c r="E368" i="46"/>
  <c r="E367" i="46"/>
  <c r="E366" i="46"/>
  <c r="E365" i="46"/>
  <c r="E364" i="46"/>
  <c r="E363" i="46"/>
  <c r="E362" i="46"/>
  <c r="E361" i="46"/>
  <c r="E360" i="46"/>
  <c r="E359" i="46"/>
  <c r="E358" i="46"/>
  <c r="E357" i="46"/>
  <c r="E356" i="46"/>
  <c r="E355" i="46"/>
  <c r="E354" i="46"/>
  <c r="E353" i="46"/>
  <c r="E352" i="46"/>
  <c r="E351" i="46"/>
  <c r="E350" i="46"/>
  <c r="E349" i="46"/>
  <c r="E348" i="46"/>
  <c r="E347" i="46"/>
  <c r="E346" i="46"/>
  <c r="E345" i="46"/>
  <c r="E344" i="46"/>
  <c r="E343" i="46"/>
  <c r="E342" i="46"/>
  <c r="E341" i="46"/>
  <c r="E340" i="46"/>
  <c r="E339" i="46"/>
  <c r="E338" i="46"/>
  <c r="E337" i="46"/>
  <c r="E336" i="46"/>
  <c r="E335" i="46"/>
  <c r="E334" i="46"/>
  <c r="E333" i="46"/>
  <c r="E332" i="46"/>
  <c r="E331" i="46"/>
  <c r="E330" i="46"/>
  <c r="E329" i="46"/>
  <c r="E328" i="46"/>
  <c r="E327" i="46"/>
  <c r="E326" i="46"/>
  <c r="E325" i="46"/>
  <c r="E324" i="46"/>
  <c r="E323" i="46"/>
  <c r="E322" i="46"/>
  <c r="E321" i="46"/>
  <c r="E320" i="46"/>
  <c r="E319" i="46"/>
  <c r="E318" i="46"/>
  <c r="E317" i="46"/>
  <c r="E316" i="46"/>
  <c r="E315" i="46"/>
  <c r="E314" i="46"/>
  <c r="E313" i="46"/>
  <c r="E312" i="46"/>
  <c r="E311" i="46"/>
  <c r="E310" i="46"/>
  <c r="E309" i="46"/>
  <c r="E308" i="46"/>
  <c r="E307" i="46"/>
  <c r="E306" i="46"/>
  <c r="E305" i="46"/>
  <c r="E304" i="46"/>
  <c r="E303" i="46"/>
  <c r="E302" i="46"/>
  <c r="E301" i="46"/>
  <c r="E300" i="46"/>
  <c r="E299" i="46"/>
  <c r="E298" i="46"/>
  <c r="E297" i="46"/>
  <c r="E296" i="46"/>
  <c r="E295" i="46"/>
  <c r="E294" i="46"/>
  <c r="E293" i="46"/>
  <c r="E292" i="46"/>
  <c r="E291" i="46"/>
  <c r="E290" i="46"/>
  <c r="E289" i="46"/>
  <c r="E288" i="46"/>
  <c r="E287" i="46"/>
  <c r="E286" i="46"/>
  <c r="E285" i="46"/>
  <c r="E284" i="46"/>
  <c r="E283" i="46"/>
  <c r="E282" i="46"/>
  <c r="E281" i="46"/>
  <c r="E280" i="46"/>
  <c r="E279" i="46"/>
  <c r="E278" i="46"/>
  <c r="E277" i="46"/>
  <c r="E276" i="46"/>
  <c r="E275" i="46"/>
  <c r="E274" i="46"/>
  <c r="E273" i="46"/>
  <c r="E272" i="46"/>
  <c r="E271" i="46"/>
  <c r="E270" i="46"/>
  <c r="E269" i="46"/>
  <c r="E268" i="46"/>
  <c r="E267" i="46"/>
  <c r="E266" i="46"/>
  <c r="E265" i="46"/>
  <c r="E264" i="46"/>
  <c r="E263" i="46"/>
  <c r="E262" i="46"/>
  <c r="E261" i="46"/>
  <c r="E260" i="46"/>
  <c r="E259" i="46"/>
  <c r="E258" i="46"/>
  <c r="E257" i="46"/>
  <c r="E256" i="46"/>
  <c r="E255" i="46"/>
  <c r="E254" i="46"/>
  <c r="E253" i="46"/>
  <c r="E252" i="46"/>
  <c r="E251" i="46"/>
  <c r="E250" i="46"/>
  <c r="E249" i="46"/>
  <c r="E248" i="46"/>
  <c r="E247" i="46"/>
  <c r="E246" i="46"/>
  <c r="E245" i="46"/>
  <c r="E244" i="46"/>
  <c r="E243" i="46"/>
  <c r="E242" i="46"/>
  <c r="E241" i="46"/>
  <c r="E240" i="46"/>
  <c r="E239" i="46"/>
  <c r="E238" i="46"/>
  <c r="E237" i="46"/>
  <c r="E236" i="46"/>
  <c r="E235" i="46"/>
  <c r="E234" i="46"/>
  <c r="E233" i="46"/>
  <c r="E232" i="46"/>
  <c r="E231" i="46"/>
  <c r="E230" i="46"/>
  <c r="E229" i="46"/>
  <c r="E228" i="46"/>
  <c r="E227" i="46"/>
  <c r="E226" i="46"/>
  <c r="E225" i="46"/>
  <c r="E224" i="46"/>
  <c r="E223" i="46"/>
  <c r="E222" i="46"/>
  <c r="E221" i="46"/>
  <c r="E220" i="46"/>
  <c r="E219" i="46"/>
  <c r="E218" i="46"/>
  <c r="E217" i="46"/>
  <c r="E216" i="46"/>
  <c r="E215" i="46"/>
  <c r="E214" i="46"/>
  <c r="E213" i="46"/>
  <c r="E212" i="46"/>
  <c r="E211" i="46"/>
  <c r="E210" i="46"/>
  <c r="E209" i="46"/>
  <c r="E208" i="46"/>
  <c r="E207" i="46"/>
  <c r="E206" i="46"/>
  <c r="E205" i="46"/>
  <c r="E204" i="46"/>
  <c r="E203" i="46"/>
  <c r="E202" i="46"/>
  <c r="E201" i="46"/>
  <c r="E200" i="46"/>
  <c r="E199" i="46"/>
  <c r="E198" i="46"/>
  <c r="E197" i="46"/>
  <c r="E196" i="46"/>
  <c r="E195" i="46"/>
  <c r="E194" i="46"/>
  <c r="E193" i="46"/>
  <c r="E192" i="46"/>
  <c r="E191" i="46"/>
  <c r="E190" i="46"/>
  <c r="E189" i="46"/>
  <c r="E188" i="46"/>
  <c r="E187" i="46"/>
  <c r="E186" i="46"/>
  <c r="E185" i="46"/>
  <c r="E184" i="46"/>
  <c r="E183" i="46"/>
  <c r="E182" i="46"/>
  <c r="E181" i="46"/>
  <c r="E180" i="46"/>
  <c r="E179" i="46"/>
  <c r="E178" i="46"/>
  <c r="E177" i="46"/>
  <c r="E176" i="46"/>
  <c r="E175" i="46"/>
  <c r="E174" i="46"/>
  <c r="E173" i="46"/>
  <c r="E172" i="46"/>
  <c r="E171" i="46"/>
  <c r="E170" i="46"/>
  <c r="E169" i="46"/>
  <c r="E168" i="46"/>
  <c r="E167" i="46"/>
  <c r="E166" i="46"/>
  <c r="E165" i="46"/>
  <c r="E164" i="46"/>
  <c r="E163" i="46"/>
  <c r="E162" i="46"/>
  <c r="E161" i="46"/>
  <c r="E160" i="46"/>
  <c r="E159" i="46"/>
  <c r="E158" i="46"/>
  <c r="E157" i="46"/>
  <c r="E156" i="46"/>
  <c r="E155" i="46"/>
  <c r="E154" i="46"/>
  <c r="E153" i="46"/>
  <c r="E152" i="46"/>
  <c r="E151" i="46"/>
  <c r="E150" i="46"/>
  <c r="E149" i="46"/>
  <c r="E148" i="46"/>
  <c r="E147" i="46"/>
  <c r="E146" i="46"/>
  <c r="E145" i="46"/>
  <c r="E144" i="46"/>
  <c r="E143" i="46"/>
  <c r="E142" i="46"/>
  <c r="E141" i="46"/>
  <c r="E140" i="46"/>
  <c r="E139" i="46"/>
  <c r="E138" i="46"/>
  <c r="E137" i="46"/>
  <c r="E136" i="46"/>
  <c r="E135" i="46"/>
  <c r="E134" i="46"/>
  <c r="E133" i="46"/>
  <c r="E132" i="46"/>
  <c r="E131" i="46"/>
  <c r="E130" i="46"/>
  <c r="E129" i="46"/>
  <c r="E128" i="46"/>
  <c r="E127" i="46"/>
  <c r="E126" i="46"/>
  <c r="E125" i="46"/>
  <c r="E124" i="46"/>
  <c r="E123" i="46"/>
  <c r="E122" i="46"/>
  <c r="E121" i="46"/>
  <c r="E120" i="46"/>
  <c r="E119" i="46"/>
  <c r="E118" i="46"/>
  <c r="E117" i="46"/>
  <c r="E116" i="46"/>
  <c r="E115" i="46"/>
  <c r="E114" i="46"/>
  <c r="E113" i="46"/>
  <c r="E112" i="46"/>
  <c r="E111" i="46"/>
  <c r="E110" i="46"/>
  <c r="E109" i="46"/>
  <c r="E108" i="46"/>
  <c r="E107" i="46"/>
  <c r="E106" i="46"/>
  <c r="E105" i="46"/>
  <c r="E104" i="46"/>
  <c r="E103" i="46"/>
  <c r="E102" i="46"/>
  <c r="E101" i="46"/>
  <c r="E100" i="46"/>
  <c r="E99" i="46"/>
  <c r="E98" i="46"/>
  <c r="E97" i="46"/>
  <c r="E96" i="46"/>
  <c r="E95" i="46"/>
  <c r="E94" i="46"/>
  <c r="E93" i="46"/>
  <c r="E92" i="46"/>
  <c r="E91" i="46"/>
  <c r="E90" i="46"/>
  <c r="E89" i="46"/>
  <c r="E88" i="46"/>
  <c r="E87" i="46"/>
  <c r="E86" i="46"/>
  <c r="E85" i="46"/>
  <c r="E84" i="46"/>
  <c r="E83" i="46"/>
  <c r="E82" i="46"/>
  <c r="E81" i="46"/>
  <c r="E80" i="46"/>
  <c r="E79" i="46"/>
  <c r="E78" i="46"/>
  <c r="E77" i="46"/>
  <c r="E76" i="46"/>
  <c r="E75" i="46"/>
  <c r="E74" i="46"/>
  <c r="E73" i="46"/>
  <c r="E72" i="46"/>
  <c r="E71" i="46"/>
  <c r="E70" i="46"/>
  <c r="E69" i="46"/>
  <c r="E68" i="46"/>
  <c r="E67" i="46"/>
  <c r="E66" i="46"/>
  <c r="E65" i="46"/>
  <c r="E64" i="46"/>
  <c r="E63" i="46"/>
  <c r="E62" i="46"/>
  <c r="E61" i="46"/>
  <c r="E60" i="46"/>
  <c r="E59" i="46"/>
  <c r="E58" i="46"/>
  <c r="E57" i="46"/>
  <c r="E56" i="46"/>
  <c r="E55" i="46"/>
  <c r="E54" i="46"/>
  <c r="E53" i="46"/>
  <c r="E52" i="46"/>
  <c r="E51" i="46"/>
  <c r="E50" i="46"/>
  <c r="E49" i="46"/>
  <c r="E48" i="46"/>
  <c r="E47" i="46"/>
  <c r="E46" i="46"/>
  <c r="E45" i="46"/>
  <c r="E44" i="46"/>
  <c r="E43" i="46"/>
  <c r="E42" i="46"/>
  <c r="E41" i="46"/>
  <c r="E40" i="46"/>
  <c r="E39" i="46"/>
  <c r="E38" i="46"/>
  <c r="E37" i="46"/>
  <c r="E36" i="46"/>
  <c r="E35" i="46"/>
  <c r="E34" i="46"/>
  <c r="E33" i="46"/>
  <c r="E32" i="46"/>
  <c r="E31" i="46"/>
  <c r="E30" i="46"/>
  <c r="E29" i="46"/>
  <c r="E28" i="46"/>
  <c r="E27" i="46"/>
  <c r="E26" i="46"/>
  <c r="E25" i="46"/>
  <c r="E24" i="46"/>
  <c r="E23" i="46"/>
  <c r="E22" i="46"/>
  <c r="E21" i="46"/>
  <c r="E20" i="46"/>
  <c r="E19" i="46"/>
  <c r="E18" i="46"/>
  <c r="E17" i="46"/>
  <c r="E16" i="46"/>
  <c r="E15" i="46"/>
  <c r="E14" i="46"/>
  <c r="E13" i="46"/>
  <c r="E12" i="46"/>
  <c r="E11" i="46"/>
  <c r="E10" i="46"/>
  <c r="E9" i="46"/>
  <c r="E8" i="46"/>
  <c r="E7" i="46"/>
  <c r="E6" i="46"/>
  <c r="E5" i="46"/>
  <c r="E4" i="46"/>
  <c r="E3" i="46"/>
  <c r="E2" i="46"/>
  <c r="E38" i="45"/>
  <c r="X37" i="45"/>
  <c r="W37" i="45"/>
  <c r="U37" i="45"/>
  <c r="S37" i="45"/>
  <c r="R37" i="45"/>
  <c r="Q37" i="45"/>
  <c r="P37" i="45"/>
  <c r="O37" i="45"/>
  <c r="M37" i="45"/>
  <c r="L37" i="45"/>
  <c r="K37" i="45"/>
  <c r="J37" i="45"/>
  <c r="I37" i="45"/>
  <c r="H37" i="45"/>
  <c r="F37" i="45"/>
  <c r="D37" i="45"/>
  <c r="X36" i="45"/>
  <c r="W36" i="45"/>
  <c r="U36" i="45"/>
  <c r="S36" i="45"/>
  <c r="R36" i="45"/>
  <c r="Q36" i="45"/>
  <c r="P36" i="45"/>
  <c r="O36" i="45"/>
  <c r="M36" i="45"/>
  <c r="L36" i="45"/>
  <c r="K36" i="45"/>
  <c r="J36" i="45"/>
  <c r="I36" i="45"/>
  <c r="H36" i="45"/>
  <c r="F36" i="45"/>
  <c r="D36" i="45"/>
  <c r="H35" i="45"/>
  <c r="F35" i="45"/>
  <c r="H34" i="45"/>
  <c r="F34" i="45"/>
  <c r="H33" i="45"/>
  <c r="F33" i="45"/>
  <c r="H32" i="45"/>
  <c r="F32" i="45"/>
  <c r="H31" i="45"/>
  <c r="F31" i="45"/>
  <c r="H30" i="45"/>
  <c r="F30" i="45"/>
  <c r="H29" i="45"/>
  <c r="F29" i="45"/>
  <c r="H28" i="45"/>
  <c r="F28" i="45"/>
  <c r="H27" i="45"/>
  <c r="F27" i="45"/>
  <c r="H26" i="45"/>
  <c r="F26" i="45"/>
  <c r="H25" i="45"/>
  <c r="F25" i="45"/>
  <c r="H24" i="45"/>
  <c r="F24" i="45"/>
  <c r="H23" i="45"/>
  <c r="F23" i="45"/>
  <c r="H22" i="45"/>
  <c r="F22" i="45"/>
  <c r="H21" i="45"/>
  <c r="F21" i="45"/>
  <c r="H20" i="45"/>
  <c r="F20" i="45"/>
  <c r="B16" i="45"/>
  <c r="J15" i="45"/>
  <c r="I15" i="45"/>
  <c r="N52" i="23" l="1"/>
  <c r="S52" i="23" s="1"/>
  <c r="R52" i="23"/>
  <c r="Y52" i="23"/>
  <c r="O52" i="23"/>
  <c r="V52" i="23"/>
  <c r="F52" i="51"/>
  <c r="H52" i="51"/>
  <c r="H38" i="48"/>
  <c r="Z38" i="48"/>
  <c r="D22" i="48"/>
  <c r="D31" i="48"/>
  <c r="Z38" i="47"/>
  <c r="F38" i="47"/>
  <c r="H38" i="47"/>
  <c r="F38" i="45"/>
  <c r="H38" i="45"/>
  <c r="D28" i="45" s="1"/>
  <c r="K31" i="48" l="1"/>
  <c r="J31" i="48"/>
  <c r="I31" i="48"/>
  <c r="K22" i="48"/>
  <c r="J22" i="48"/>
  <c r="B4" i="48"/>
  <c r="B17" i="48" s="1"/>
  <c r="D35" i="48"/>
  <c r="D34" i="48"/>
  <c r="D25" i="48"/>
  <c r="D26" i="48"/>
  <c r="D23" i="48"/>
  <c r="D24" i="48"/>
  <c r="D30" i="48"/>
  <c r="I22" i="48"/>
  <c r="D27" i="48"/>
  <c r="D33" i="48"/>
  <c r="D29" i="48"/>
  <c r="D21" i="48"/>
  <c r="D28" i="48"/>
  <c r="D32" i="48"/>
  <c r="D20" i="48"/>
  <c r="B4" i="47"/>
  <c r="B17" i="47" s="1"/>
  <c r="D31" i="47"/>
  <c r="D27" i="47"/>
  <c r="D23" i="47"/>
  <c r="D32" i="47"/>
  <c r="D28" i="47"/>
  <c r="D24" i="47"/>
  <c r="D20" i="47"/>
  <c r="D29" i="47"/>
  <c r="D30" i="47"/>
  <c r="D22" i="47"/>
  <c r="D25" i="47"/>
  <c r="D21" i="47"/>
  <c r="D26" i="47"/>
  <c r="D35" i="45"/>
  <c r="J35" i="45" s="1"/>
  <c r="D27" i="45"/>
  <c r="K27" i="45" s="1"/>
  <c r="J28" i="45"/>
  <c r="K28" i="45"/>
  <c r="L28" i="45" s="1"/>
  <c r="N28" i="45" s="1"/>
  <c r="I28" i="45"/>
  <c r="K35" i="45"/>
  <c r="I35" i="45"/>
  <c r="I27" i="45"/>
  <c r="D30" i="45"/>
  <c r="D26" i="45"/>
  <c r="D34" i="45"/>
  <c r="D22" i="45"/>
  <c r="D33" i="45"/>
  <c r="D29" i="45"/>
  <c r="D21" i="45"/>
  <c r="D25" i="45"/>
  <c r="D32" i="45"/>
  <c r="D23" i="45"/>
  <c r="D31" i="45"/>
  <c r="D24" i="45"/>
  <c r="D20" i="45"/>
  <c r="B4" i="45"/>
  <c r="B17" i="45" s="1"/>
  <c r="T24" i="41"/>
  <c r="T25" i="41"/>
  <c r="T26" i="41"/>
  <c r="T27" i="41"/>
  <c r="T28" i="41"/>
  <c r="T29" i="41"/>
  <c r="T30" i="41"/>
  <c r="T31" i="41"/>
  <c r="T32" i="41"/>
  <c r="T33" i="41"/>
  <c r="T34" i="41"/>
  <c r="D24" i="41"/>
  <c r="D25" i="41"/>
  <c r="D26" i="41"/>
  <c r="D27" i="41"/>
  <c r="D28" i="41"/>
  <c r="D29" i="41"/>
  <c r="D30" i="41"/>
  <c r="D31" i="41"/>
  <c r="D32" i="41"/>
  <c r="D33" i="41"/>
  <c r="D34" i="41"/>
  <c r="R24" i="41"/>
  <c r="R25" i="41"/>
  <c r="R26" i="41"/>
  <c r="R27" i="41"/>
  <c r="R28" i="41"/>
  <c r="R29" i="41"/>
  <c r="R30" i="41"/>
  <c r="R31" i="41"/>
  <c r="R32" i="41"/>
  <c r="R33" i="41"/>
  <c r="R34" i="41"/>
  <c r="V24" i="41"/>
  <c r="V25" i="41"/>
  <c r="V26" i="41"/>
  <c r="V27" i="41"/>
  <c r="V28" i="41"/>
  <c r="V29" i="41"/>
  <c r="V30" i="41"/>
  <c r="V31" i="41"/>
  <c r="V32" i="41"/>
  <c r="V33" i="41"/>
  <c r="V34" i="41"/>
  <c r="U24" i="41"/>
  <c r="U25" i="41"/>
  <c r="U26" i="41"/>
  <c r="U27" i="41"/>
  <c r="U28" i="41"/>
  <c r="U29" i="41"/>
  <c r="U30" i="41"/>
  <c r="U31" i="41"/>
  <c r="U32" i="41"/>
  <c r="U33" i="41"/>
  <c r="U34" i="41"/>
  <c r="F21" i="41"/>
  <c r="F22" i="41"/>
  <c r="F23" i="41"/>
  <c r="F24" i="41"/>
  <c r="G24" i="41"/>
  <c r="H24" i="41"/>
  <c r="I24" i="41"/>
  <c r="J24" i="41"/>
  <c r="K24" i="41"/>
  <c r="L24" i="41"/>
  <c r="M24" i="41"/>
  <c r="N24" i="41"/>
  <c r="O24" i="41"/>
  <c r="P24" i="41"/>
  <c r="F25" i="41"/>
  <c r="G25" i="41"/>
  <c r="H25" i="41"/>
  <c r="I25" i="41"/>
  <c r="J25" i="41"/>
  <c r="K25" i="41"/>
  <c r="L25" i="41"/>
  <c r="M25" i="41"/>
  <c r="N25" i="41"/>
  <c r="O25" i="41"/>
  <c r="P25" i="41"/>
  <c r="F26" i="41"/>
  <c r="G26" i="41"/>
  <c r="H26" i="41"/>
  <c r="I26" i="41"/>
  <c r="J26" i="41"/>
  <c r="K26" i="41"/>
  <c r="L26" i="41"/>
  <c r="M26" i="41"/>
  <c r="N26" i="41"/>
  <c r="O26" i="41"/>
  <c r="P26" i="41"/>
  <c r="F27" i="41"/>
  <c r="G27" i="41"/>
  <c r="H27" i="41"/>
  <c r="I27" i="41"/>
  <c r="J27" i="41"/>
  <c r="K27" i="41"/>
  <c r="L27" i="41"/>
  <c r="M27" i="41"/>
  <c r="N27" i="41"/>
  <c r="O27" i="41"/>
  <c r="P27" i="41"/>
  <c r="F28" i="41"/>
  <c r="G28" i="41"/>
  <c r="H28" i="41"/>
  <c r="I28" i="41"/>
  <c r="J28" i="41"/>
  <c r="K28" i="41"/>
  <c r="L28" i="41"/>
  <c r="M28" i="41"/>
  <c r="N28" i="41"/>
  <c r="O28" i="41"/>
  <c r="P28" i="41"/>
  <c r="F29" i="41"/>
  <c r="G29" i="41"/>
  <c r="H29" i="41"/>
  <c r="I29" i="41"/>
  <c r="J29" i="41"/>
  <c r="K29" i="41"/>
  <c r="L29" i="41"/>
  <c r="M29" i="41"/>
  <c r="N29" i="41"/>
  <c r="O29" i="41"/>
  <c r="P29" i="41"/>
  <c r="F30" i="41"/>
  <c r="G30" i="41"/>
  <c r="H30" i="41"/>
  <c r="I30" i="41"/>
  <c r="J30" i="41"/>
  <c r="K30" i="41"/>
  <c r="L30" i="41"/>
  <c r="M30" i="41"/>
  <c r="N30" i="41"/>
  <c r="O30" i="41"/>
  <c r="P30" i="41"/>
  <c r="F31" i="41"/>
  <c r="G31" i="41"/>
  <c r="H31" i="41"/>
  <c r="I31" i="41"/>
  <c r="J31" i="41"/>
  <c r="K31" i="41"/>
  <c r="L31" i="41"/>
  <c r="M31" i="41"/>
  <c r="N31" i="41"/>
  <c r="O31" i="41"/>
  <c r="P31" i="41"/>
  <c r="F32" i="41"/>
  <c r="G32" i="41"/>
  <c r="H32" i="41"/>
  <c r="I32" i="41"/>
  <c r="J32" i="41"/>
  <c r="K32" i="41"/>
  <c r="L32" i="41"/>
  <c r="M32" i="41"/>
  <c r="N32" i="41"/>
  <c r="O32" i="41"/>
  <c r="P32" i="41"/>
  <c r="F33" i="41"/>
  <c r="G33" i="41"/>
  <c r="H33" i="41"/>
  <c r="I33" i="41"/>
  <c r="J33" i="41"/>
  <c r="K33" i="41"/>
  <c r="L33" i="41"/>
  <c r="M33" i="41"/>
  <c r="N33" i="41"/>
  <c r="O33" i="41"/>
  <c r="P33" i="41"/>
  <c r="F34" i="41"/>
  <c r="G34" i="41"/>
  <c r="H34" i="41"/>
  <c r="I34" i="41"/>
  <c r="J34" i="41"/>
  <c r="K34" i="41"/>
  <c r="L34" i="41"/>
  <c r="M34" i="41"/>
  <c r="N34" i="41"/>
  <c r="O34" i="41"/>
  <c r="P34" i="41"/>
  <c r="F20" i="41"/>
  <c r="K27" i="48" l="1"/>
  <c r="J27" i="48"/>
  <c r="I27" i="48"/>
  <c r="K23" i="48"/>
  <c r="J23" i="48"/>
  <c r="I23" i="48"/>
  <c r="K21" i="48"/>
  <c r="J21" i="48"/>
  <c r="I21" i="48"/>
  <c r="J26" i="48"/>
  <c r="K26" i="48"/>
  <c r="I26" i="48"/>
  <c r="D38" i="48"/>
  <c r="K20" i="48"/>
  <c r="J20" i="48"/>
  <c r="I20" i="48"/>
  <c r="K29" i="48"/>
  <c r="J29" i="48"/>
  <c r="I29" i="48"/>
  <c r="K30" i="48"/>
  <c r="I30" i="48"/>
  <c r="J30" i="48"/>
  <c r="K25" i="48"/>
  <c r="J25" i="48"/>
  <c r="I25" i="48"/>
  <c r="L31" i="48"/>
  <c r="K32" i="48"/>
  <c r="I32" i="48"/>
  <c r="J32" i="48"/>
  <c r="J33" i="48"/>
  <c r="K33" i="48"/>
  <c r="I33" i="48"/>
  <c r="K24" i="48"/>
  <c r="J24" i="48"/>
  <c r="I24" i="48"/>
  <c r="J34" i="48"/>
  <c r="K34" i="48"/>
  <c r="L34" i="48" s="1"/>
  <c r="I34" i="48"/>
  <c r="L22" i="48"/>
  <c r="K28" i="48"/>
  <c r="J28" i="48"/>
  <c r="I28" i="48"/>
  <c r="K35" i="48"/>
  <c r="J35" i="48"/>
  <c r="I35" i="48"/>
  <c r="K25" i="47"/>
  <c r="J25" i="47"/>
  <c r="I25" i="47"/>
  <c r="K20" i="47"/>
  <c r="I20" i="47"/>
  <c r="J20" i="47"/>
  <c r="J23" i="47"/>
  <c r="K23" i="47"/>
  <c r="I23" i="47"/>
  <c r="J22" i="47"/>
  <c r="K22" i="47"/>
  <c r="I22" i="47"/>
  <c r="K24" i="47"/>
  <c r="I24" i="47"/>
  <c r="J24" i="47"/>
  <c r="J27" i="47"/>
  <c r="K27" i="47"/>
  <c r="I27" i="47"/>
  <c r="J26" i="47"/>
  <c r="K26" i="47"/>
  <c r="I26" i="47"/>
  <c r="J30" i="47"/>
  <c r="K30" i="47"/>
  <c r="I30" i="47"/>
  <c r="I28" i="47"/>
  <c r="K28" i="47"/>
  <c r="J28" i="47"/>
  <c r="J31" i="47"/>
  <c r="K31" i="47"/>
  <c r="I31" i="47"/>
  <c r="D38" i="47"/>
  <c r="K21" i="47"/>
  <c r="J21" i="47"/>
  <c r="I21" i="47"/>
  <c r="K29" i="47"/>
  <c r="J29" i="47"/>
  <c r="I29" i="47"/>
  <c r="K32" i="47"/>
  <c r="I32" i="47"/>
  <c r="J32" i="47"/>
  <c r="J27" i="45"/>
  <c r="L27" i="45" s="1"/>
  <c r="L35" i="45"/>
  <c r="N35" i="45" s="1"/>
  <c r="K34" i="45"/>
  <c r="J34" i="45"/>
  <c r="I34" i="45"/>
  <c r="K29" i="45"/>
  <c r="L29" i="45" s="1"/>
  <c r="N29" i="45" s="1"/>
  <c r="J29" i="45"/>
  <c r="I29" i="45"/>
  <c r="J26" i="45"/>
  <c r="K26" i="45"/>
  <c r="I26" i="45"/>
  <c r="J32" i="45"/>
  <c r="K32" i="45"/>
  <c r="I32" i="45"/>
  <c r="K33" i="45"/>
  <c r="J33" i="45"/>
  <c r="I33" i="45"/>
  <c r="J30" i="45"/>
  <c r="K30" i="45"/>
  <c r="I30" i="45"/>
  <c r="M28" i="45"/>
  <c r="O28" i="45" s="1"/>
  <c r="P28" i="45" s="1"/>
  <c r="K31" i="45"/>
  <c r="J31" i="45"/>
  <c r="I31" i="45"/>
  <c r="K21" i="45"/>
  <c r="L21" i="45" s="1"/>
  <c r="N21" i="45" s="1"/>
  <c r="J21" i="45"/>
  <c r="I21" i="45"/>
  <c r="K23" i="45"/>
  <c r="I23" i="45"/>
  <c r="J23" i="45"/>
  <c r="J24" i="45"/>
  <c r="K24" i="45"/>
  <c r="I24" i="45"/>
  <c r="K25" i="45"/>
  <c r="J25" i="45"/>
  <c r="I25" i="45"/>
  <c r="K22" i="45"/>
  <c r="J22" i="45"/>
  <c r="I22" i="45"/>
  <c r="D38" i="45"/>
  <c r="K20" i="45"/>
  <c r="J20" i="45"/>
  <c r="I20" i="45"/>
  <c r="B16" i="41"/>
  <c r="G15" i="41"/>
  <c r="L20" i="48" l="1"/>
  <c r="M31" i="48"/>
  <c r="N31" i="48"/>
  <c r="N20" i="48"/>
  <c r="M20" i="48"/>
  <c r="L24" i="48"/>
  <c r="L29" i="48"/>
  <c r="L35" i="48"/>
  <c r="N22" i="48"/>
  <c r="O22" i="48" s="1"/>
  <c r="P22" i="48" s="1"/>
  <c r="M22" i="48"/>
  <c r="L33" i="48"/>
  <c r="L32" i="48"/>
  <c r="L25" i="48"/>
  <c r="L26" i="48"/>
  <c r="L21" i="48"/>
  <c r="L23" i="48"/>
  <c r="M34" i="48"/>
  <c r="N34" i="48"/>
  <c r="L28" i="48"/>
  <c r="L30" i="48"/>
  <c r="I38" i="48"/>
  <c r="L27" i="48"/>
  <c r="L26" i="47"/>
  <c r="N26" i="47" s="1"/>
  <c r="L23" i="47"/>
  <c r="M23" i="47" s="1"/>
  <c r="L20" i="47"/>
  <c r="M20" i="47" s="1"/>
  <c r="L21" i="47"/>
  <c r="N21" i="47" s="1"/>
  <c r="L30" i="47"/>
  <c r="N30" i="47" s="1"/>
  <c r="L22" i="47"/>
  <c r="N22" i="47" s="1"/>
  <c r="I38" i="47"/>
  <c r="L29" i="47"/>
  <c r="L32" i="47"/>
  <c r="L28" i="47"/>
  <c r="L31" i="47"/>
  <c r="L27" i="47"/>
  <c r="L24" i="47"/>
  <c r="L25" i="47"/>
  <c r="N27" i="45"/>
  <c r="M27" i="45"/>
  <c r="M35" i="45"/>
  <c r="L34" i="45"/>
  <c r="N34" i="45" s="1"/>
  <c r="L20" i="45"/>
  <c r="N20" i="45" s="1"/>
  <c r="L30" i="45"/>
  <c r="N30" i="45" s="1"/>
  <c r="Q28" i="45"/>
  <c r="R28" i="45" s="1"/>
  <c r="U28" i="45" s="1"/>
  <c r="W28" i="45" s="1"/>
  <c r="X28" i="45" s="1"/>
  <c r="M21" i="45"/>
  <c r="O35" i="45"/>
  <c r="P35" i="45" s="1"/>
  <c r="Q35" i="45" s="1"/>
  <c r="R35" i="45" s="1"/>
  <c r="L22" i="45"/>
  <c r="N22" i="45" s="1"/>
  <c r="L23" i="45"/>
  <c r="N23" i="45" s="1"/>
  <c r="L25" i="45"/>
  <c r="N25" i="45" s="1"/>
  <c r="M30" i="45"/>
  <c r="L33" i="45"/>
  <c r="N33" i="45" s="1"/>
  <c r="L24" i="45"/>
  <c r="N24" i="45" s="1"/>
  <c r="L31" i="45"/>
  <c r="N31" i="45" s="1"/>
  <c r="L32" i="45"/>
  <c r="N32" i="45" s="1"/>
  <c r="L26" i="45"/>
  <c r="N26" i="45" s="1"/>
  <c r="M29" i="45"/>
  <c r="O29" i="45"/>
  <c r="P29" i="45" s="1"/>
  <c r="Q29" i="45" s="1"/>
  <c r="R29" i="45" s="1"/>
  <c r="M34" i="45"/>
  <c r="I38" i="45"/>
  <c r="F35" i="41"/>
  <c r="N20" i="47" l="1"/>
  <c r="Q20" i="47" s="1"/>
  <c r="R20" i="47" s="1"/>
  <c r="N23" i="47"/>
  <c r="O23" i="47" s="1"/>
  <c r="M22" i="47"/>
  <c r="Q22" i="47" s="1"/>
  <c r="R22" i="47" s="1"/>
  <c r="O34" i="48"/>
  <c r="P34" i="48" s="1"/>
  <c r="M26" i="47"/>
  <c r="O26" i="47" s="1"/>
  <c r="Q31" i="48"/>
  <c r="R31" i="48" s="1"/>
  <c r="S31" i="48" s="1"/>
  <c r="V31" i="48" s="1"/>
  <c r="X31" i="48" s="1"/>
  <c r="Y31" i="48" s="1"/>
  <c r="N27" i="48"/>
  <c r="M27" i="48"/>
  <c r="N30" i="48"/>
  <c r="M30" i="48"/>
  <c r="N21" i="48"/>
  <c r="M21" i="48"/>
  <c r="N32" i="48"/>
  <c r="O32" i="48" s="1"/>
  <c r="P32" i="48" s="1"/>
  <c r="M32" i="48"/>
  <c r="L38" i="48"/>
  <c r="N26" i="48"/>
  <c r="M26" i="48"/>
  <c r="M33" i="48"/>
  <c r="N33" i="48"/>
  <c r="Q20" i="48"/>
  <c r="Q34" i="48"/>
  <c r="R34" i="48" s="1"/>
  <c r="M35" i="48"/>
  <c r="N35" i="48"/>
  <c r="O20" i="48"/>
  <c r="N28" i="48"/>
  <c r="O28" i="48" s="1"/>
  <c r="P28" i="48" s="1"/>
  <c r="M28" i="48"/>
  <c r="N23" i="48"/>
  <c r="M23" i="48"/>
  <c r="M25" i="48"/>
  <c r="N25" i="48"/>
  <c r="O25" i="48" s="1"/>
  <c r="P25" i="48" s="1"/>
  <c r="Q22" i="48"/>
  <c r="R22" i="48" s="1"/>
  <c r="N29" i="48"/>
  <c r="M29" i="48"/>
  <c r="O31" i="48"/>
  <c r="P31" i="48" s="1"/>
  <c r="N24" i="48"/>
  <c r="M24" i="48"/>
  <c r="Q26" i="47"/>
  <c r="R26" i="47" s="1"/>
  <c r="M30" i="47"/>
  <c r="Q30" i="47" s="1"/>
  <c r="R30" i="47" s="1"/>
  <c r="M21" i="47"/>
  <c r="Q21" i="47" s="1"/>
  <c r="R21" i="47" s="1"/>
  <c r="L38" i="47"/>
  <c r="O27" i="45"/>
  <c r="P27" i="45" s="1"/>
  <c r="Q27" i="45" s="1"/>
  <c r="R27" i="45" s="1"/>
  <c r="U27" i="45" s="1"/>
  <c r="W27" i="45" s="1"/>
  <c r="X27" i="45" s="1"/>
  <c r="M27" i="47"/>
  <c r="N27" i="47"/>
  <c r="N25" i="47"/>
  <c r="M25" i="47"/>
  <c r="N29" i="47"/>
  <c r="M29" i="47"/>
  <c r="N32" i="47"/>
  <c r="M32" i="47"/>
  <c r="N24" i="47"/>
  <c r="M24" i="47"/>
  <c r="M31" i="47"/>
  <c r="N31" i="47"/>
  <c r="M28" i="47"/>
  <c r="N28" i="47"/>
  <c r="M20" i="45"/>
  <c r="S28" i="45"/>
  <c r="S35" i="45"/>
  <c r="U35" i="45"/>
  <c r="W35" i="45" s="1"/>
  <c r="X35" i="45" s="1"/>
  <c r="S29" i="45"/>
  <c r="U29" i="45"/>
  <c r="W29" i="45" s="1"/>
  <c r="X29" i="45" s="1"/>
  <c r="M26" i="45"/>
  <c r="O26" i="45" s="1"/>
  <c r="P26" i="45" s="1"/>
  <c r="M24" i="45"/>
  <c r="M33" i="45"/>
  <c r="L38" i="45"/>
  <c r="M32" i="45"/>
  <c r="O21" i="45"/>
  <c r="P21" i="45" s="1"/>
  <c r="Q21" i="45" s="1"/>
  <c r="R21" i="45" s="1"/>
  <c r="M23" i="45"/>
  <c r="M25" i="45"/>
  <c r="O25" i="45"/>
  <c r="P25" i="45" s="1"/>
  <c r="O34" i="45"/>
  <c r="P34" i="45" s="1"/>
  <c r="Q34" i="45" s="1"/>
  <c r="R34" i="45" s="1"/>
  <c r="O31" i="45"/>
  <c r="P31" i="45" s="1"/>
  <c r="M31" i="45"/>
  <c r="O30" i="45"/>
  <c r="P30" i="45" s="1"/>
  <c r="Q30" i="45" s="1"/>
  <c r="R30" i="45" s="1"/>
  <c r="M22" i="45"/>
  <c r="O20" i="45"/>
  <c r="D22" i="41"/>
  <c r="D23" i="41"/>
  <c r="B4" i="41"/>
  <c r="H35" i="41" s="1"/>
  <c r="D21" i="41"/>
  <c r="D20" i="41"/>
  <c r="AA26" i="47" l="1"/>
  <c r="P26" i="47"/>
  <c r="AA30" i="47"/>
  <c r="P23" i="47"/>
  <c r="AA21" i="47"/>
  <c r="AA22" i="47"/>
  <c r="AA20" i="47"/>
  <c r="S20" i="47"/>
  <c r="O20" i="47"/>
  <c r="Q23" i="47"/>
  <c r="R23" i="47" s="1"/>
  <c r="O22" i="47"/>
  <c r="S26" i="47"/>
  <c r="AA31" i="48"/>
  <c r="N38" i="48"/>
  <c r="Q21" i="48"/>
  <c r="R21" i="48" s="1"/>
  <c r="S21" i="48" s="1"/>
  <c r="V21" i="48" s="1"/>
  <c r="X21" i="48" s="1"/>
  <c r="Y21" i="48" s="1"/>
  <c r="Q28" i="48"/>
  <c r="R28" i="48" s="1"/>
  <c r="S28" i="48" s="1"/>
  <c r="V28" i="48" s="1"/>
  <c r="X28" i="48" s="1"/>
  <c r="Y28" i="48" s="1"/>
  <c r="O21" i="47"/>
  <c r="S22" i="47"/>
  <c r="Q32" i="47"/>
  <c r="R32" i="47" s="1"/>
  <c r="Q25" i="47"/>
  <c r="R25" i="47" s="1"/>
  <c r="Q24" i="48"/>
  <c r="R24" i="48" s="1"/>
  <c r="AA24" i="48" s="1"/>
  <c r="O23" i="48"/>
  <c r="P23" i="48" s="1"/>
  <c r="O26" i="48"/>
  <c r="P26" i="48" s="1"/>
  <c r="Q29" i="48"/>
  <c r="R29" i="48" s="1"/>
  <c r="S29" i="48" s="1"/>
  <c r="V29" i="48" s="1"/>
  <c r="X29" i="48" s="1"/>
  <c r="Y29" i="48" s="1"/>
  <c r="Q35" i="48"/>
  <c r="R35" i="48" s="1"/>
  <c r="S35" i="48" s="1"/>
  <c r="V35" i="48" s="1"/>
  <c r="X35" i="48" s="1"/>
  <c r="Y35" i="48" s="1"/>
  <c r="O33" i="48"/>
  <c r="P33" i="48" s="1"/>
  <c r="O21" i="48"/>
  <c r="P21" i="48" s="1"/>
  <c r="Q30" i="48"/>
  <c r="R30" i="48" s="1"/>
  <c r="AA30" i="48" s="1"/>
  <c r="S24" i="48"/>
  <c r="V24" i="48" s="1"/>
  <c r="X24" i="48" s="1"/>
  <c r="AA34" i="48"/>
  <c r="S34" i="48"/>
  <c r="V34" i="48" s="1"/>
  <c r="X34" i="48" s="1"/>
  <c r="Y34" i="48" s="1"/>
  <c r="Q25" i="48"/>
  <c r="R25" i="48" s="1"/>
  <c r="O35" i="48"/>
  <c r="P35" i="48" s="1"/>
  <c r="R20" i="48"/>
  <c r="S22" i="48"/>
  <c r="V22" i="48" s="1"/>
  <c r="X22" i="48" s="1"/>
  <c r="Y22" i="48" s="1"/>
  <c r="AA22" i="48"/>
  <c r="Q23" i="48"/>
  <c r="R23" i="48" s="1"/>
  <c r="Q26" i="48"/>
  <c r="R26" i="48" s="1"/>
  <c r="Q32" i="48"/>
  <c r="R32" i="48" s="1"/>
  <c r="O30" i="48"/>
  <c r="P30" i="48" s="1"/>
  <c r="Q27" i="48"/>
  <c r="R27" i="48" s="1"/>
  <c r="P20" i="48"/>
  <c r="Q33" i="48"/>
  <c r="R33" i="48" s="1"/>
  <c r="O24" i="48"/>
  <c r="P24" i="48" s="1"/>
  <c r="O29" i="48"/>
  <c r="P29" i="48" s="1"/>
  <c r="M38" i="48"/>
  <c r="O27" i="48"/>
  <c r="P27" i="48" s="1"/>
  <c r="V20" i="47"/>
  <c r="Q24" i="47"/>
  <c r="R24" i="47" s="1"/>
  <c r="Q29" i="47"/>
  <c r="R29" i="47" s="1"/>
  <c r="S30" i="47"/>
  <c r="Q31" i="47"/>
  <c r="R31" i="47" s="1"/>
  <c r="Q27" i="47"/>
  <c r="R27" i="47" s="1"/>
  <c r="Q28" i="47"/>
  <c r="R28" i="47" s="1"/>
  <c r="S21" i="47"/>
  <c r="O30" i="47"/>
  <c r="S27" i="45"/>
  <c r="O25" i="47"/>
  <c r="N38" i="47"/>
  <c r="O24" i="47"/>
  <c r="O29" i="47"/>
  <c r="O31" i="47"/>
  <c r="O32" i="47"/>
  <c r="M38" i="47"/>
  <c r="O28" i="47"/>
  <c r="O27" i="47"/>
  <c r="O33" i="45"/>
  <c r="P33" i="45" s="1"/>
  <c r="Q33" i="45" s="1"/>
  <c r="R33" i="45" s="1"/>
  <c r="O32" i="45"/>
  <c r="P32" i="45" s="1"/>
  <c r="Q32" i="45" s="1"/>
  <c r="R32" i="45" s="1"/>
  <c r="N38" i="45"/>
  <c r="O23" i="45"/>
  <c r="P23" i="45" s="1"/>
  <c r="Q23" i="45" s="1"/>
  <c r="R23" i="45" s="1"/>
  <c r="O22" i="45"/>
  <c r="P22" i="45" s="1"/>
  <c r="Q22" i="45" s="1"/>
  <c r="R22" i="45" s="1"/>
  <c r="U30" i="45"/>
  <c r="W30" i="45" s="1"/>
  <c r="X30" i="45" s="1"/>
  <c r="S30" i="45"/>
  <c r="U21" i="45"/>
  <c r="W21" i="45" s="1"/>
  <c r="X21" i="45" s="1"/>
  <c r="S21" i="45"/>
  <c r="Q25" i="45"/>
  <c r="R25" i="45" s="1"/>
  <c r="Q26" i="45"/>
  <c r="R26" i="45" s="1"/>
  <c r="U34" i="45"/>
  <c r="W34" i="45" s="1"/>
  <c r="X34" i="45" s="1"/>
  <c r="S34" i="45"/>
  <c r="Q31" i="45"/>
  <c r="R31" i="45" s="1"/>
  <c r="M38" i="45"/>
  <c r="O24" i="45"/>
  <c r="P24" i="45" s="1"/>
  <c r="Q24" i="45" s="1"/>
  <c r="R24" i="45" s="1"/>
  <c r="P20" i="45"/>
  <c r="H21" i="41"/>
  <c r="G22" i="41"/>
  <c r="I22" i="41"/>
  <c r="J35" i="41"/>
  <c r="H23" i="41"/>
  <c r="H22" i="41"/>
  <c r="I23" i="41"/>
  <c r="G23" i="41"/>
  <c r="I20" i="41"/>
  <c r="D35" i="41"/>
  <c r="G21" i="41"/>
  <c r="I21" i="41"/>
  <c r="H20" i="41"/>
  <c r="G20" i="41"/>
  <c r="P28" i="47" l="1"/>
  <c r="P29" i="47"/>
  <c r="AA27" i="47"/>
  <c r="AA24" i="47"/>
  <c r="P21" i="47"/>
  <c r="P20" i="47"/>
  <c r="P24" i="47"/>
  <c r="P30" i="47"/>
  <c r="AA31" i="47"/>
  <c r="AA25" i="47"/>
  <c r="T20" i="47"/>
  <c r="P32" i="47"/>
  <c r="AA32" i="47"/>
  <c r="P22" i="47"/>
  <c r="P27" i="47"/>
  <c r="P31" i="47"/>
  <c r="P25" i="47"/>
  <c r="AA28" i="47"/>
  <c r="AA29" i="47"/>
  <c r="AA23" i="47"/>
  <c r="S30" i="48"/>
  <c r="V30" i="48" s="1"/>
  <c r="X30" i="48" s="1"/>
  <c r="Y30" i="48" s="1"/>
  <c r="V21" i="47"/>
  <c r="X21" i="47" s="1"/>
  <c r="Y21" i="47" s="1"/>
  <c r="T21" i="47"/>
  <c r="AA28" i="48"/>
  <c r="V30" i="47"/>
  <c r="X30" i="47" s="1"/>
  <c r="Y30" i="47" s="1"/>
  <c r="T30" i="47"/>
  <c r="AA29" i="48"/>
  <c r="V22" i="47"/>
  <c r="AB22" i="47" s="1"/>
  <c r="AD22" i="47" s="1"/>
  <c r="T22" i="47"/>
  <c r="V26" i="47"/>
  <c r="X26" i="47" s="1"/>
  <c r="Y26" i="47" s="1"/>
  <c r="T26" i="47"/>
  <c r="X20" i="47"/>
  <c r="Y20" i="47" s="1"/>
  <c r="AB20" i="47"/>
  <c r="AD20" i="47" s="1"/>
  <c r="S23" i="47"/>
  <c r="S25" i="47"/>
  <c r="AA21" i="48"/>
  <c r="AA35" i="48"/>
  <c r="S24" i="47"/>
  <c r="S32" i="47"/>
  <c r="S29" i="47"/>
  <c r="P38" i="48"/>
  <c r="S26" i="48"/>
  <c r="V26" i="48" s="1"/>
  <c r="X26" i="48" s="1"/>
  <c r="Y26" i="48" s="1"/>
  <c r="AA26" i="48"/>
  <c r="O38" i="48"/>
  <c r="Q38" i="48"/>
  <c r="S32" i="48"/>
  <c r="V32" i="48" s="1"/>
  <c r="X32" i="48" s="1"/>
  <c r="Y32" i="48" s="1"/>
  <c r="AA32" i="48"/>
  <c r="AA25" i="48"/>
  <c r="S25" i="48"/>
  <c r="V25" i="48" s="1"/>
  <c r="X25" i="48" s="1"/>
  <c r="Y25" i="48" s="1"/>
  <c r="Y24" i="48"/>
  <c r="AA33" i="48"/>
  <c r="S33" i="48"/>
  <c r="V33" i="48" s="1"/>
  <c r="X33" i="48" s="1"/>
  <c r="Y33" i="48" s="1"/>
  <c r="S27" i="48"/>
  <c r="V27" i="48" s="1"/>
  <c r="X27" i="48" s="1"/>
  <c r="Y27" i="48" s="1"/>
  <c r="AA27" i="48"/>
  <c r="S23" i="48"/>
  <c r="V23" i="48" s="1"/>
  <c r="X23" i="48" s="1"/>
  <c r="Y23" i="48" s="1"/>
  <c r="AA23" i="48"/>
  <c r="R38" i="48"/>
  <c r="S20" i="48"/>
  <c r="V20" i="48" s="1"/>
  <c r="X20" i="48" s="1"/>
  <c r="Y20" i="48" s="1"/>
  <c r="AA20" i="48"/>
  <c r="S28" i="47"/>
  <c r="S27" i="47"/>
  <c r="S31" i="47"/>
  <c r="R38" i="47"/>
  <c r="O38" i="47"/>
  <c r="P38" i="47"/>
  <c r="U24" i="45"/>
  <c r="W24" i="45" s="1"/>
  <c r="X24" i="45" s="1"/>
  <c r="S24" i="45"/>
  <c r="U33" i="45"/>
  <c r="W33" i="45" s="1"/>
  <c r="X33" i="45" s="1"/>
  <c r="S33" i="45"/>
  <c r="U26" i="45"/>
  <c r="W26" i="45" s="1"/>
  <c r="X26" i="45" s="1"/>
  <c r="S26" i="45"/>
  <c r="O38" i="45"/>
  <c r="S31" i="45"/>
  <c r="U31" i="45"/>
  <c r="W31" i="45" s="1"/>
  <c r="X31" i="45" s="1"/>
  <c r="U32" i="45"/>
  <c r="W32" i="45" s="1"/>
  <c r="X32" i="45" s="1"/>
  <c r="S32" i="45"/>
  <c r="S25" i="45"/>
  <c r="U25" i="45"/>
  <c r="W25" i="45" s="1"/>
  <c r="X25" i="45" s="1"/>
  <c r="U22" i="45"/>
  <c r="W22" i="45" s="1"/>
  <c r="X22" i="45" s="1"/>
  <c r="S22" i="45"/>
  <c r="S23" i="45"/>
  <c r="U23" i="45"/>
  <c r="W23" i="45" s="1"/>
  <c r="X23" i="45" s="1"/>
  <c r="P38" i="45"/>
  <c r="Q20" i="45"/>
  <c r="J21" i="41"/>
  <c r="G35" i="41"/>
  <c r="J23" i="41"/>
  <c r="J22" i="41"/>
  <c r="AB26" i="47" l="1"/>
  <c r="AD26" i="47" s="1"/>
  <c r="AA38" i="47"/>
  <c r="AB21" i="47"/>
  <c r="AD21" i="47" s="1"/>
  <c r="V32" i="47"/>
  <c r="X32" i="47" s="1"/>
  <c r="Y32" i="47" s="1"/>
  <c r="X22" i="47"/>
  <c r="Y22" i="47" s="1"/>
  <c r="V27" i="47"/>
  <c r="AB27" i="47" s="1"/>
  <c r="AD27" i="47" s="1"/>
  <c r="T27" i="47"/>
  <c r="V28" i="47"/>
  <c r="X28" i="47" s="1"/>
  <c r="Y28" i="47" s="1"/>
  <c r="T28" i="47"/>
  <c r="V25" i="47"/>
  <c r="AB25" i="47" s="1"/>
  <c r="AD25" i="47" s="1"/>
  <c r="T25" i="47"/>
  <c r="AB30" i="47"/>
  <c r="AD30" i="47" s="1"/>
  <c r="V29" i="47"/>
  <c r="AB29" i="47" s="1"/>
  <c r="AD29" i="47" s="1"/>
  <c r="T29" i="47"/>
  <c r="V23" i="47"/>
  <c r="X23" i="47" s="1"/>
  <c r="Y23" i="47" s="1"/>
  <c r="T23" i="47"/>
  <c r="V24" i="47"/>
  <c r="AB24" i="47" s="1"/>
  <c r="AD24" i="47" s="1"/>
  <c r="T24" i="47"/>
  <c r="V31" i="47"/>
  <c r="X31" i="47" s="1"/>
  <c r="Y31" i="47" s="1"/>
  <c r="T31" i="47"/>
  <c r="X29" i="47"/>
  <c r="Y29" i="47" s="1"/>
  <c r="AB23" i="47"/>
  <c r="AD23" i="47" s="1"/>
  <c r="X27" i="47"/>
  <c r="Y27" i="47" s="1"/>
  <c r="X25" i="47"/>
  <c r="Y25" i="47" s="1"/>
  <c r="AA38" i="48"/>
  <c r="Y38" i="48"/>
  <c r="X38" i="48"/>
  <c r="T31" i="48"/>
  <c r="T29" i="48"/>
  <c r="T34" i="48"/>
  <c r="T24" i="48"/>
  <c r="T22" i="48"/>
  <c r="T35" i="48"/>
  <c r="T28" i="48"/>
  <c r="T30" i="48"/>
  <c r="T21" i="48"/>
  <c r="T33" i="48"/>
  <c r="T27" i="48"/>
  <c r="T25" i="48"/>
  <c r="T32" i="48"/>
  <c r="T20" i="48"/>
  <c r="T23" i="48"/>
  <c r="T26" i="48"/>
  <c r="Q38" i="47"/>
  <c r="Q38" i="45"/>
  <c r="R20" i="45"/>
  <c r="L21" i="41"/>
  <c r="K21" i="41"/>
  <c r="L23" i="41"/>
  <c r="K23" i="41"/>
  <c r="K22" i="41"/>
  <c r="L22" i="41"/>
  <c r="M22" i="41" s="1"/>
  <c r="N22" i="41" s="1"/>
  <c r="AB31" i="47" l="1"/>
  <c r="AD31" i="47" s="1"/>
  <c r="AB28" i="47"/>
  <c r="AD28" i="47" s="1"/>
  <c r="X24" i="47"/>
  <c r="Y24" i="47" s="1"/>
  <c r="T38" i="48"/>
  <c r="U20" i="45"/>
  <c r="W20" i="45" s="1"/>
  <c r="S20" i="45"/>
  <c r="M21" i="41"/>
  <c r="M23" i="41"/>
  <c r="N23" i="41" s="1"/>
  <c r="O23" i="41" s="1"/>
  <c r="O22" i="41"/>
  <c r="Y38" i="47" l="1"/>
  <c r="X38" i="47"/>
  <c r="W38" i="45"/>
  <c r="X20" i="45"/>
  <c r="X38" i="45" s="1"/>
  <c r="P23" i="41"/>
  <c r="R23" i="41" s="1"/>
  <c r="U23" i="41" s="1"/>
  <c r="V23" i="41" s="1"/>
  <c r="P22" i="41"/>
  <c r="R22" i="41" s="1"/>
  <c r="U22" i="41" s="1"/>
  <c r="V22" i="41" s="1"/>
  <c r="N21" i="41"/>
  <c r="O21" i="41" l="1"/>
  <c r="P21" i="41" l="1"/>
  <c r="R21" i="41" l="1"/>
  <c r="U21" i="41" l="1"/>
  <c r="J20" i="41"/>
  <c r="L20" i="41"/>
  <c r="V21" i="41" l="1"/>
  <c r="K20" i="41"/>
  <c r="L35" i="41"/>
  <c r="M20" i="41" l="1"/>
  <c r="K35" i="41"/>
  <c r="N20" i="41"/>
  <c r="M35" i="41" l="1"/>
  <c r="O20" i="41"/>
  <c r="N35" i="41"/>
  <c r="P20" i="41" l="1"/>
  <c r="O35" i="41"/>
  <c r="T21" i="41" l="1"/>
  <c r="T22" i="41"/>
  <c r="T23" i="41"/>
  <c r="T20" i="41"/>
  <c r="R20" i="41"/>
  <c r="T35" i="41" l="1"/>
  <c r="U20" i="41"/>
  <c r="U35" i="41" l="1"/>
  <c r="V20" i="41"/>
  <c r="V35" i="41" s="1"/>
  <c r="D34" i="51"/>
  <c r="I34" i="51" s="1"/>
  <c r="D30" i="51"/>
  <c r="I30" i="51" s="1"/>
  <c r="D32" i="51"/>
  <c r="I32" i="51" s="1"/>
  <c r="D33" i="51"/>
  <c r="I33" i="51" s="1"/>
  <c r="D31" i="51"/>
  <c r="I31" i="51" s="1"/>
  <c r="D29" i="51"/>
  <c r="I29" i="51" s="1"/>
  <c r="D37" i="51"/>
  <c r="I37" i="51" s="1"/>
  <c r="D23" i="51"/>
  <c r="I23" i="51" s="1"/>
  <c r="D36" i="51"/>
  <c r="I36" i="51" s="1"/>
  <c r="D27" i="51"/>
  <c r="I27" i="51" s="1"/>
  <c r="D28" i="51"/>
  <c r="I28" i="51" s="1"/>
  <c r="D21" i="51"/>
  <c r="I21" i="51" s="1"/>
  <c r="D35" i="51"/>
  <c r="I35" i="51" s="1"/>
  <c r="D25" i="51"/>
  <c r="I25" i="51" s="1"/>
  <c r="D24" i="51"/>
  <c r="I24" i="51" s="1"/>
  <c r="D22" i="51"/>
  <c r="I22" i="51" s="1"/>
  <c r="D26" i="51"/>
  <c r="I26" i="51" s="1"/>
  <c r="D20" i="51"/>
  <c r="I20" i="51" s="1"/>
  <c r="B4" i="51"/>
  <c r="B17" i="51" s="1"/>
  <c r="D52" i="51" l="1"/>
  <c r="K36" i="51"/>
  <c r="K34" i="51"/>
  <c r="K32" i="51"/>
  <c r="K30" i="51"/>
  <c r="K28" i="51"/>
  <c r="K26" i="51"/>
  <c r="K24" i="51"/>
  <c r="K22" i="51"/>
  <c r="K37" i="51"/>
  <c r="K35" i="51"/>
  <c r="K33" i="51"/>
  <c r="K31" i="51"/>
  <c r="K29" i="51"/>
  <c r="K27" i="51"/>
  <c r="K25" i="51"/>
  <c r="K23" i="51"/>
  <c r="K20" i="51"/>
  <c r="K21" i="51"/>
  <c r="J36" i="51"/>
  <c r="L36" i="51" s="1"/>
  <c r="J32" i="51"/>
  <c r="J28" i="51"/>
  <c r="L28" i="51" s="1"/>
  <c r="J24" i="51"/>
  <c r="L24" i="51" s="1"/>
  <c r="J35" i="51"/>
  <c r="L35" i="51" s="1"/>
  <c r="J27" i="51"/>
  <c r="L27" i="51" s="1"/>
  <c r="J34" i="51"/>
  <c r="L34" i="51" s="1"/>
  <c r="J30" i="51"/>
  <c r="L30" i="51" s="1"/>
  <c r="J26" i="51"/>
  <c r="L26" i="51" s="1"/>
  <c r="J22" i="51"/>
  <c r="J31" i="51"/>
  <c r="J23" i="51"/>
  <c r="J37" i="51"/>
  <c r="J33" i="51"/>
  <c r="L33" i="51" s="1"/>
  <c r="J29" i="51"/>
  <c r="L29" i="51" s="1"/>
  <c r="J25" i="51"/>
  <c r="J20" i="51"/>
  <c r="J21" i="51"/>
  <c r="L21" i="51" s="1"/>
  <c r="M26" i="51" l="1"/>
  <c r="N26" i="51"/>
  <c r="O26" i="51" s="1"/>
  <c r="P26" i="51" s="1"/>
  <c r="N30" i="51"/>
  <c r="O30" i="51"/>
  <c r="P30" i="51" s="1"/>
  <c r="M30" i="51"/>
  <c r="N24" i="51"/>
  <c r="M24" i="51"/>
  <c r="Q24" i="51" s="1"/>
  <c r="R24" i="51" s="1"/>
  <c r="N34" i="51"/>
  <c r="M34" i="51"/>
  <c r="N28" i="51"/>
  <c r="M28" i="51"/>
  <c r="Q28" i="51" s="1"/>
  <c r="R28" i="51" s="1"/>
  <c r="M33" i="51"/>
  <c r="N33" i="51"/>
  <c r="N29" i="51"/>
  <c r="M29" i="51"/>
  <c r="Q29" i="51" s="1"/>
  <c r="R29" i="51" s="1"/>
  <c r="M21" i="51"/>
  <c r="N21" i="51"/>
  <c r="O21" i="51" s="1"/>
  <c r="P21" i="51" s="1"/>
  <c r="N27" i="51"/>
  <c r="M27" i="51"/>
  <c r="N35" i="51"/>
  <c r="M35" i="51"/>
  <c r="M36" i="51"/>
  <c r="Q36" i="51" s="1"/>
  <c r="R36" i="51" s="1"/>
  <c r="O36" i="51"/>
  <c r="P36" i="51" s="1"/>
  <c r="N36" i="51"/>
  <c r="L32" i="51"/>
  <c r="L22" i="51"/>
  <c r="L31" i="51"/>
  <c r="L37" i="51"/>
  <c r="L23" i="51"/>
  <c r="L20" i="51"/>
  <c r="Q34" i="51"/>
  <c r="R34" i="51" s="1"/>
  <c r="L25" i="51"/>
  <c r="O27" i="51" l="1"/>
  <c r="P27" i="51" s="1"/>
  <c r="O28" i="51"/>
  <c r="P28" i="51" s="1"/>
  <c r="O35" i="51"/>
  <c r="P35" i="51" s="1"/>
  <c r="Q33" i="51"/>
  <c r="R33" i="51" s="1"/>
  <c r="AA33" i="51" s="1"/>
  <c r="O34" i="51"/>
  <c r="P34" i="51" s="1"/>
  <c r="AA36" i="51"/>
  <c r="S36" i="51"/>
  <c r="AA29" i="51"/>
  <c r="S29" i="51"/>
  <c r="N23" i="51"/>
  <c r="M23" i="51"/>
  <c r="N32" i="51"/>
  <c r="O32" i="51" s="1"/>
  <c r="P32" i="51" s="1"/>
  <c r="M32" i="51"/>
  <c r="S28" i="51"/>
  <c r="AA28" i="51"/>
  <c r="O24" i="51"/>
  <c r="P24" i="51" s="1"/>
  <c r="Q26" i="51"/>
  <c r="R26" i="51" s="1"/>
  <c r="N25" i="51"/>
  <c r="M25" i="51"/>
  <c r="O25" i="51"/>
  <c r="P25" i="51" s="1"/>
  <c r="N37" i="51"/>
  <c r="M37" i="51"/>
  <c r="Q35" i="51"/>
  <c r="R35" i="51" s="1"/>
  <c r="Q27" i="51"/>
  <c r="R27" i="51" s="1"/>
  <c r="Q21" i="51"/>
  <c r="R21" i="51" s="1"/>
  <c r="Q30" i="51"/>
  <c r="R30" i="51" s="1"/>
  <c r="S34" i="51"/>
  <c r="AA34" i="51"/>
  <c r="N31" i="51"/>
  <c r="M31" i="51"/>
  <c r="S33" i="51"/>
  <c r="AA24" i="51"/>
  <c r="S24" i="51"/>
  <c r="M20" i="51"/>
  <c r="L52" i="51"/>
  <c r="N20" i="51"/>
  <c r="N52" i="51" s="1"/>
  <c r="N22" i="51"/>
  <c r="M22" i="51"/>
  <c r="Q22" i="51" s="1"/>
  <c r="R22" i="51" s="1"/>
  <c r="O29" i="51"/>
  <c r="P29" i="51" s="1"/>
  <c r="O33" i="51"/>
  <c r="P33" i="51" s="1"/>
  <c r="Q31" i="51" l="1"/>
  <c r="R31" i="51" s="1"/>
  <c r="S31" i="51" s="1"/>
  <c r="T34" i="51"/>
  <c r="V34" i="51"/>
  <c r="AA35" i="51"/>
  <c r="S35" i="51"/>
  <c r="O22" i="51"/>
  <c r="P22" i="51" s="1"/>
  <c r="O31" i="51"/>
  <c r="P31" i="51" s="1"/>
  <c r="S30" i="51"/>
  <c r="AA30" i="51"/>
  <c r="Q37" i="51"/>
  <c r="R37" i="51" s="1"/>
  <c r="Q25" i="51"/>
  <c r="R25" i="51" s="1"/>
  <c r="V29" i="51"/>
  <c r="T29" i="51"/>
  <c r="T24" i="51"/>
  <c r="V24" i="51"/>
  <c r="AA22" i="51"/>
  <c r="S22" i="51"/>
  <c r="O20" i="51"/>
  <c r="P20" i="51" s="1"/>
  <c r="V33" i="51"/>
  <c r="T33" i="51"/>
  <c r="AA21" i="51"/>
  <c r="S21" i="51"/>
  <c r="V28" i="51"/>
  <c r="T28" i="51"/>
  <c r="Q23" i="51"/>
  <c r="R23" i="51" s="1"/>
  <c r="M52" i="51"/>
  <c r="Q20" i="51"/>
  <c r="S27" i="51"/>
  <c r="AA27" i="51"/>
  <c r="O37" i="51"/>
  <c r="P37" i="51" s="1"/>
  <c r="AA26" i="51"/>
  <c r="S26" i="51"/>
  <c r="Q32" i="51"/>
  <c r="R32" i="51" s="1"/>
  <c r="O23" i="51"/>
  <c r="P23" i="51" s="1"/>
  <c r="V36" i="51"/>
  <c r="T36" i="51"/>
  <c r="P52" i="51" l="1"/>
  <c r="AA31" i="51"/>
  <c r="V26" i="51"/>
  <c r="T26" i="51"/>
  <c r="V27" i="51"/>
  <c r="T27" i="51"/>
  <c r="AB29" i="51"/>
  <c r="AD29" i="51" s="1"/>
  <c r="X29" i="51"/>
  <c r="Y29" i="51" s="1"/>
  <c r="V30" i="51"/>
  <c r="T30" i="51"/>
  <c r="V31" i="51"/>
  <c r="T31" i="51"/>
  <c r="AB36" i="51"/>
  <c r="AD36" i="51" s="1"/>
  <c r="X36" i="51"/>
  <c r="Y36" i="51" s="1"/>
  <c r="R20" i="51"/>
  <c r="Q52" i="51"/>
  <c r="X28" i="51"/>
  <c r="Y28" i="51" s="1"/>
  <c r="AB28" i="51"/>
  <c r="AD28" i="51" s="1"/>
  <c r="AB33" i="51"/>
  <c r="AD33" i="51" s="1"/>
  <c r="X33" i="51"/>
  <c r="Y33" i="51" s="1"/>
  <c r="AB24" i="51"/>
  <c r="AD24" i="51" s="1"/>
  <c r="X24" i="51"/>
  <c r="Y24" i="51" s="1"/>
  <c r="AA25" i="51"/>
  <c r="S25" i="51"/>
  <c r="X34" i="51"/>
  <c r="Y34" i="51" s="1"/>
  <c r="AB34" i="51"/>
  <c r="AD34" i="51" s="1"/>
  <c r="T21" i="51"/>
  <c r="V21" i="51"/>
  <c r="O52" i="51"/>
  <c r="S37" i="51"/>
  <c r="AA37" i="51"/>
  <c r="S32" i="51"/>
  <c r="AA32" i="51"/>
  <c r="S23" i="51"/>
  <c r="AA23" i="51"/>
  <c r="T22" i="51"/>
  <c r="V22" i="51"/>
  <c r="V35" i="51"/>
  <c r="T35" i="51"/>
  <c r="V23" i="51" l="1"/>
  <c r="T23" i="51"/>
  <c r="V37" i="51"/>
  <c r="T37" i="51"/>
  <c r="R52" i="51"/>
  <c r="S52" i="51" s="1"/>
  <c r="S20" i="51"/>
  <c r="AA20" i="51"/>
  <c r="X31" i="51"/>
  <c r="Y31" i="51" s="1"/>
  <c r="AB31" i="51"/>
  <c r="AD31" i="51" s="1"/>
  <c r="AB26" i="51"/>
  <c r="AD26" i="51" s="1"/>
  <c r="X26" i="51"/>
  <c r="Y26" i="51" s="1"/>
  <c r="AB22" i="51"/>
  <c r="AD22" i="51" s="1"/>
  <c r="X22" i="51"/>
  <c r="Y22" i="51" s="1"/>
  <c r="T32" i="51"/>
  <c r="V32" i="51"/>
  <c r="AB21" i="51"/>
  <c r="AD21" i="51" s="1"/>
  <c r="X21" i="51"/>
  <c r="Y21" i="51" s="1"/>
  <c r="X30" i="51"/>
  <c r="Y30" i="51" s="1"/>
  <c r="AB30" i="51"/>
  <c r="AD30" i="51" s="1"/>
  <c r="X27" i="51"/>
  <c r="Y27" i="51" s="1"/>
  <c r="AB27" i="51"/>
  <c r="AD27" i="51" s="1"/>
  <c r="X35" i="51"/>
  <c r="Y35" i="51" s="1"/>
  <c r="AB35" i="51"/>
  <c r="AD35" i="51" s="1"/>
  <c r="V25" i="51"/>
  <c r="T25" i="51"/>
  <c r="X25" i="51" l="1"/>
  <c r="Y25" i="51" s="1"/>
  <c r="AB25" i="51"/>
  <c r="AD25" i="51" s="1"/>
  <c r="AB32" i="51"/>
  <c r="AD32" i="51" s="1"/>
  <c r="X32" i="51"/>
  <c r="Y32" i="51" s="1"/>
  <c r="AB37" i="51"/>
  <c r="AD37" i="51" s="1"/>
  <c r="X37" i="51"/>
  <c r="Y37" i="51" s="1"/>
  <c r="V20" i="51"/>
  <c r="T20" i="51"/>
  <c r="T52" i="51" s="1"/>
  <c r="X23" i="51"/>
  <c r="Y23" i="51" s="1"/>
  <c r="AB23" i="51"/>
  <c r="AD23" i="51" s="1"/>
  <c r="V52" i="51" l="1"/>
  <c r="AB20" i="51"/>
  <c r="X20" i="51"/>
  <c r="AB52" i="51" l="1"/>
  <c r="AD52" i="51" s="1"/>
  <c r="AD20" i="51"/>
  <c r="Y20" i="51"/>
  <c r="Y52" i="51" s="1"/>
  <c r="X52" i="51"/>
</calcChain>
</file>

<file path=xl/comments1.xml><?xml version="1.0" encoding="utf-8"?>
<comments xmlns="http://schemas.openxmlformats.org/spreadsheetml/2006/main">
  <authors>
    <author>Billenniun</author>
  </authors>
  <commentList>
    <comment ref="L52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2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Billenniun</author>
  </authors>
  <commentList>
    <comment ref="K38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Billenniun</author>
  </authors>
  <commentList>
    <comment ref="K38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Billenniun</author>
  </authors>
  <commentList>
    <comment ref="I35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Billenniun</author>
  </authors>
  <commentList>
    <comment ref="L52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2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Billenniun</author>
  </authors>
  <commentList>
    <comment ref="K38" authorId="0" shapeId="0">
      <text>
        <r>
          <rPr>
            <b/>
            <sz val="9"/>
            <color indexed="81"/>
            <rFont val="Tahoma"/>
            <family val="2"/>
          </rPr>
          <t>Ingrese el Total del Flete en esta celda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<sst xmlns="http://schemas.openxmlformats.org/spreadsheetml/2006/main" count="580" uniqueCount="152">
  <si>
    <t>VALOR DE LA MERCADERIA</t>
  </si>
  <si>
    <t>GASTOS GENERALES DE IMPORTACION</t>
  </si>
  <si>
    <t>GASTOS CONSOLIDADORA</t>
  </si>
  <si>
    <t>DESPACHO DE ADUANA</t>
  </si>
  <si>
    <t>BODEGAJE</t>
  </si>
  <si>
    <t>TRANSPORTE LOCAL</t>
  </si>
  <si>
    <t>FOB</t>
  </si>
  <si>
    <t>TOTAL.-</t>
  </si>
  <si>
    <t xml:space="preserve"> </t>
  </si>
  <si>
    <t>DESCRIPCION</t>
  </si>
  <si>
    <t>CANT</t>
  </si>
  <si>
    <t>%</t>
  </si>
  <si>
    <t>LIQUIDAC</t>
  </si>
  <si>
    <t>P.UNIT</t>
  </si>
  <si>
    <t>REFERENCIA DE FORMA DE PAGO</t>
  </si>
  <si>
    <t>1 ER PAGO</t>
  </si>
  <si>
    <t>2 DO PAGO</t>
  </si>
  <si>
    <t>3 ER PAGO</t>
  </si>
  <si>
    <t>ESTIBA LOCAL</t>
  </si>
  <si>
    <t>MARGEN DE GANANCIA</t>
  </si>
  <si>
    <t xml:space="preserve">SALIDA DE DIVISAS </t>
  </si>
  <si>
    <t>BCO PICHINCHA</t>
  </si>
  <si>
    <t>BANCO</t>
  </si>
  <si>
    <t>FECHA DE PAGO</t>
  </si>
  <si>
    <t>BCO PACIFICO</t>
  </si>
  <si>
    <t>DIVISA</t>
  </si>
  <si>
    <t>AFORADOR ADUANA</t>
  </si>
  <si>
    <t>USO DE TARJETA¨ALIBABA¨ + diferido</t>
  </si>
  <si>
    <t>ARANCEL</t>
  </si>
  <si>
    <t>8302.60.00.00</t>
  </si>
  <si>
    <t>Peso</t>
  </si>
  <si>
    <t>Fodinfa</t>
  </si>
  <si>
    <t>Ad Valorem</t>
  </si>
  <si>
    <t>Precio de Venta Calculado</t>
  </si>
  <si>
    <t>IVA</t>
  </si>
  <si>
    <t>Seguro</t>
  </si>
  <si>
    <t>FOB UNITARIO</t>
  </si>
  <si>
    <t>Valor CIF</t>
  </si>
  <si>
    <t>Tasa Seguro</t>
  </si>
  <si>
    <t>Flete</t>
  </si>
  <si>
    <t>Tasa IVA</t>
  </si>
  <si>
    <t>COSTO TOTAL</t>
  </si>
  <si>
    <t xml:space="preserve">COSTO UNITARIO </t>
  </si>
  <si>
    <t>Venta Total</t>
  </si>
  <si>
    <t>Utilidad de la Importacion</t>
  </si>
  <si>
    <t>Precio de Venta en Mercado</t>
  </si>
  <si>
    <t>TOTALES</t>
  </si>
  <si>
    <t>LIQUIDACION DE LA IMPORTACION</t>
  </si>
  <si>
    <t>Fec. Apertura</t>
  </si>
  <si>
    <t>Fec. Licquidacion</t>
  </si>
  <si>
    <t>I.V.A.</t>
  </si>
  <si>
    <t>TABLA DE ARANCELES</t>
  </si>
  <si>
    <t>Codigo</t>
  </si>
  <si>
    <t>Partida</t>
  </si>
  <si>
    <t>Tasa Advalorem</t>
  </si>
  <si>
    <t>Descripcion</t>
  </si>
  <si>
    <t>PUSH GRIS MINI LUXUS</t>
  </si>
  <si>
    <t>3926.30.00.00</t>
  </si>
  <si>
    <t>AMORTIGUADOR / PUSH</t>
  </si>
  <si>
    <t>BASE PARA EL I.V.A.</t>
  </si>
  <si>
    <t>Base Para el Iva</t>
  </si>
  <si>
    <t>Distribucion Gastos Generales</t>
  </si>
  <si>
    <t>Porcentaje de Gasto</t>
  </si>
  <si>
    <t>PUSH EMPOTRABLE MINI</t>
  </si>
  <si>
    <t>PUSH MARIPOSA</t>
  </si>
  <si>
    <t>corte guia</t>
  </si>
  <si>
    <t>PUSH METALISADO</t>
  </si>
  <si>
    <t>8302.42.00.00</t>
  </si>
  <si>
    <t>RIEL 25 FINO</t>
  </si>
  <si>
    <t>RIEL 30 FINO</t>
  </si>
  <si>
    <t>TAPA ADHESIVA LUXUS</t>
  </si>
  <si>
    <t>BOTON CRISTAL BASE DORADA LUXUS</t>
  </si>
  <si>
    <t>ZAPATERA PLASTICA BLANCA</t>
  </si>
  <si>
    <t>MANIJA HUECA 96MM LUXUS</t>
  </si>
  <si>
    <t>BISAGRA RECTA HIDRAULICA NOVA</t>
  </si>
  <si>
    <t>8301.30.00.00</t>
  </si>
  <si>
    <t>CERRADURA PALETA 20MM LUXUS</t>
  </si>
  <si>
    <t>CERRADURA PALETA 25MM LUXUS</t>
  </si>
  <si>
    <t>CERRADURA PALETA 30MM LUXUS</t>
  </si>
  <si>
    <t>8207.13.20.90</t>
  </si>
  <si>
    <t>AVELLANADOR 7 A 8 LUXUS</t>
  </si>
  <si>
    <t>SISTEMA PARA MESA ABATIBLE O EXPANDIBLE LUXUS</t>
  </si>
  <si>
    <t>BASE GIRATORIA 6X6</t>
  </si>
  <si>
    <t>BASE GIRATORIA 8X8</t>
  </si>
  <si>
    <t>BASE GIRATORIA 3X3</t>
  </si>
  <si>
    <t>BOTON METALICO 906</t>
  </si>
  <si>
    <t>PATA PLASTICA</t>
  </si>
  <si>
    <t>8302.10.90.00</t>
  </si>
  <si>
    <t>3926.90.90.00</t>
  </si>
  <si>
    <t>FLETE INTERNACIONAL</t>
  </si>
  <si>
    <t>Saldo</t>
  </si>
  <si>
    <t>%  Gasto</t>
  </si>
  <si>
    <t xml:space="preserve">RIEL 30 FINO </t>
  </si>
  <si>
    <t>X</t>
  </si>
  <si>
    <t>ESPEJO</t>
  </si>
  <si>
    <t>ESPEJO RECTANGULAR 70X70 CINTA LED CON SILICON</t>
  </si>
  <si>
    <t>ESPEJO RECTANGULAR 70X70 CINTA LED SIN SILICON</t>
  </si>
  <si>
    <t>ESPEJO RECTANGULAR 90X90 CINTA LED CON SILICON</t>
  </si>
  <si>
    <t>ESPEJO REDONDO 70CM CINTA LED SIN SILICON</t>
  </si>
  <si>
    <t>ESPEJO MUESTRA RECTANGULAR 90 CM MULTICOLOR</t>
  </si>
  <si>
    <t>ESPEJO MUESTRA REDONDO 90 CM TIPO MEDIA LUNA</t>
  </si>
  <si>
    <t>ESPEJO MUESTRA RECTANGULAR 60X80 12V</t>
  </si>
  <si>
    <t>ESPEJO MUESTRA RECTANGULAR 60X80 12V CON RELOJ</t>
  </si>
  <si>
    <t>ESPUMA EN TIRA METRO</t>
  </si>
  <si>
    <t>3921.00.00.00</t>
  </si>
  <si>
    <t>ESPUMA FLEX PARA ESPEJO EN TIRA</t>
  </si>
  <si>
    <t>P.U. R.</t>
  </si>
  <si>
    <t>F.UNITARIO.R.</t>
  </si>
  <si>
    <t>Validacion</t>
  </si>
  <si>
    <t xml:space="preserve">  </t>
  </si>
  <si>
    <t>TOTAL GASTOS</t>
  </si>
  <si>
    <t xml:space="preserve">COSTO TOTAL </t>
  </si>
  <si>
    <t>Proyeccion Ventas</t>
  </si>
  <si>
    <t>Proyeccion de Utilidad</t>
  </si>
  <si>
    <t>%  MARGEN DE GANANCIA</t>
  </si>
  <si>
    <t>Precio de Venta en Mercado en Dolares</t>
  </si>
  <si>
    <t>7009.91.00.00</t>
  </si>
  <si>
    <t>3920.99.00.00</t>
  </si>
  <si>
    <t>MANIJA PUERTA 60CM / 201 /32MM</t>
  </si>
  <si>
    <t>MANIJA PUERTA 45CM / 201 /32MM</t>
  </si>
  <si>
    <t>CORTA FILOS NARANJA</t>
  </si>
  <si>
    <t>BISAGRA OMEGA 4X3 CON RULIMAN</t>
  </si>
  <si>
    <t>BISAGRA OMEGA 3 X3 SIN RULIMAN</t>
  </si>
  <si>
    <t>NIVELADOR 19X30</t>
  </si>
  <si>
    <t>NIVELADOR 25X50</t>
  </si>
  <si>
    <t>BISAGRA MINI RECTA</t>
  </si>
  <si>
    <t>MANIJA PUERTA 90 CM CUADRADA NEGRA</t>
  </si>
  <si>
    <t>SOPORTE PISO MEDIA LUNA</t>
  </si>
  <si>
    <t>CERRADURA HIGH QUALITY CAJA VERDE</t>
  </si>
  <si>
    <t>CERRADURA POMO SIN CILINDRO</t>
  </si>
  <si>
    <t>PATA PLASTICA NEGRA 4 PCS</t>
  </si>
  <si>
    <t>BASE GIRATORIA 3 X3</t>
  </si>
  <si>
    <t>GARRUCHA NYLON 2 PL / 4 PCS</t>
  </si>
  <si>
    <t>8301.40.90.00</t>
  </si>
  <si>
    <t>ESPEJO REDONDO TEJIDO 90 CM</t>
  </si>
  <si>
    <t>ESPEJO OSO 90CM CINTA LED CON SILICON</t>
  </si>
  <si>
    <t>Venta Total Sin Iva</t>
  </si>
  <si>
    <t>Incremento PVP</t>
  </si>
  <si>
    <t>Venta Total Con Iva Mayorista</t>
  </si>
  <si>
    <t>Venta Total Con Iva Minorista</t>
  </si>
  <si>
    <t>Nota importante:</t>
  </si>
  <si>
    <t>Los gastos de importación se distribuyen de forma proporcional según el valor de cada producto.</t>
  </si>
  <si>
    <r>
      <t xml:space="preserve">Debido a la existencia de gastos fijos y variables, </t>
    </r>
    <r>
      <rPr>
        <b/>
        <sz val="11"/>
        <color theme="1"/>
        <rFont val="Calibri"/>
        <family val="2"/>
        <scheme val="minor"/>
      </rPr>
      <t>no existe un porcentaje único aplicable a todos los artículos</t>
    </r>
    <r>
      <rPr>
        <sz val="11"/>
        <color theme="1"/>
        <rFont val="Calibri"/>
        <family val="2"/>
        <scheme val="minor"/>
      </rPr>
      <t xml:space="preserve"> que permita obtener el costo real individual.</t>
    </r>
  </si>
  <si>
    <t>El “% promedio” mostrado se utiliza únicamente con fines referenciales y de simulación comercial.</t>
  </si>
  <si>
    <t>MANIJA PUERTA 80 CM</t>
  </si>
  <si>
    <t>CERRADURA DE POMO</t>
  </si>
  <si>
    <t>BORDO / FILO PLASTICO</t>
  </si>
  <si>
    <t>RIEL-30-PUSH</t>
  </si>
  <si>
    <t>N</t>
  </si>
  <si>
    <t>NULL</t>
  </si>
  <si>
    <t>False</t>
  </si>
  <si>
    <t>Valor del Seguro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</si>
</sst>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* #,##0.00_ ;_ * \-#,##0.00_ ;_ * &quot;-&quot;??_ ;_ @_ "/>
    <numFmt numFmtId="165" formatCode="#,##0.0000"/>
    <numFmt numFmtId="166" formatCode="#,##0.00_ ;\-#,##0.00\ "/>
    <numFmt numFmtId="167" formatCode="#,##0.0"/>
    <numFmt numFmtId="168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2060"/>
      <name val="Calibri"/>
      <family val="2"/>
      <scheme val="minor"/>
    </font>
    <font>
      <sz val="2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5" xfId="0" applyBorder="1"/>
    <xf numFmtId="0" fontId="2" fillId="0" borderId="1" xfId="0" applyFont="1" applyBorder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2" fontId="3" fillId="0" borderId="2" xfId="0" applyNumberFormat="1" applyFont="1" applyBorder="1"/>
    <xf numFmtId="0" fontId="2" fillId="0" borderId="1" xfId="0" applyFont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2" fillId="0" borderId="10" xfId="0" applyFont="1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12" xfId="0" applyBorder="1"/>
    <xf numFmtId="0" fontId="0" fillId="0" borderId="12" xfId="0" applyBorder="1" applyAlignment="1">
      <alignment horizont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 vertical="center" wrapText="1"/>
    </xf>
    <xf numFmtId="4" fontId="3" fillId="0" borderId="0" xfId="0" applyNumberFormat="1" applyFont="1" applyAlignment="1">
      <alignment horizontal="right"/>
    </xf>
    <xf numFmtId="0" fontId="3" fillId="0" borderId="0" xfId="0" applyFont="1" applyAlignment="1">
      <alignment wrapText="1"/>
    </xf>
    <xf numFmtId="0" fontId="6" fillId="0" borderId="1" xfId="0" applyFont="1" applyBorder="1"/>
    <xf numFmtId="0" fontId="2" fillId="0" borderId="1" xfId="0" applyFont="1" applyBorder="1"/>
    <xf numFmtId="0" fontId="6" fillId="0" borderId="12" xfId="0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4" fontId="7" fillId="0" borderId="15" xfId="0" applyNumberFormat="1" applyFont="1" applyBorder="1"/>
    <xf numFmtId="164" fontId="8" fillId="0" borderId="1" xfId="1" applyFont="1" applyBorder="1" applyAlignment="1">
      <alignment horizontal="center"/>
    </xf>
    <xf numFmtId="2" fontId="9" fillId="0" borderId="0" xfId="0" applyNumberFormat="1" applyFont="1"/>
    <xf numFmtId="2" fontId="9" fillId="0" borderId="6" xfId="0" applyNumberFormat="1" applyFont="1" applyBorder="1"/>
    <xf numFmtId="2" fontId="10" fillId="0" borderId="1" xfId="0" applyNumberFormat="1" applyFont="1" applyBorder="1" applyAlignment="1">
      <alignment horizontal="right"/>
    </xf>
    <xf numFmtId="0" fontId="13" fillId="0" borderId="0" xfId="0" applyFont="1"/>
    <xf numFmtId="0" fontId="14" fillId="0" borderId="1" xfId="0" applyFont="1" applyBorder="1" applyAlignment="1">
      <alignment horizontal="center"/>
    </xf>
    <xf numFmtId="0" fontId="15" fillId="0" borderId="0" xfId="0" applyFont="1" applyAlignment="1">
      <alignment horizontal="right"/>
    </xf>
    <xf numFmtId="2" fontId="12" fillId="0" borderId="0" xfId="0" applyNumberFormat="1" applyFont="1" applyAlignment="1">
      <alignment horizontal="right"/>
    </xf>
    <xf numFmtId="0" fontId="5" fillId="0" borderId="0" xfId="0" applyFont="1" applyAlignment="1">
      <alignment horizontal="center" wrapText="1"/>
    </xf>
    <xf numFmtId="4" fontId="10" fillId="0" borderId="1" xfId="2" applyNumberFormat="1" applyFont="1" applyBorder="1" applyAlignment="1">
      <alignment horizontal="right"/>
    </xf>
    <xf numFmtId="0" fontId="16" fillId="3" borderId="17" xfId="0" applyFont="1" applyFill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center"/>
    </xf>
    <xf numFmtId="4" fontId="17" fillId="0" borderId="1" xfId="2" applyNumberFormat="1" applyFont="1" applyBorder="1" applyAlignment="1">
      <alignment horizontal="right"/>
    </xf>
    <xf numFmtId="0" fontId="16" fillId="0" borderId="0" xfId="0" applyFont="1"/>
    <xf numFmtId="165" fontId="10" fillId="0" borderId="1" xfId="2" applyNumberFormat="1" applyFont="1" applyBorder="1" applyAlignment="1">
      <alignment horizontal="right"/>
    </xf>
    <xf numFmtId="4" fontId="0" fillId="0" borderId="0" xfId="0" applyNumberFormat="1"/>
    <xf numFmtId="166" fontId="18" fillId="0" borderId="14" xfId="0" applyNumberFormat="1" applyFont="1" applyBorder="1"/>
    <xf numFmtId="0" fontId="19" fillId="0" borderId="0" xfId="0" quotePrefix="1" applyFont="1"/>
    <xf numFmtId="165" fontId="0" fillId="2" borderId="1" xfId="0" applyNumberFormat="1" applyFill="1" applyBorder="1" applyAlignment="1" applyProtection="1">
      <alignment horizontal="right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4" fontId="17" fillId="2" borderId="0" xfId="0" applyNumberFormat="1" applyFont="1" applyFill="1" applyAlignment="1" applyProtection="1">
      <alignment horizontal="right"/>
      <protection locked="0"/>
    </xf>
    <xf numFmtId="4" fontId="0" fillId="2" borderId="1" xfId="0" applyNumberFormat="1" applyFill="1" applyBorder="1" applyAlignment="1" applyProtection="1">
      <alignment horizontal="right"/>
      <protection locked="0"/>
    </xf>
    <xf numFmtId="4" fontId="0" fillId="2" borderId="1" xfId="0" applyNumberFormat="1" applyFill="1" applyBorder="1" applyAlignment="1" applyProtection="1">
      <alignment horizontal="center"/>
      <protection locked="0"/>
    </xf>
    <xf numFmtId="4" fontId="10" fillId="2" borderId="1" xfId="2" applyNumberFormat="1" applyFont="1" applyFill="1" applyBorder="1" applyAlignment="1" applyProtection="1">
      <alignment horizontal="center"/>
      <protection locked="0"/>
    </xf>
    <xf numFmtId="2" fontId="0" fillId="0" borderId="1" xfId="0" applyNumberFormat="1" applyBorder="1" applyProtection="1">
      <protection locked="0"/>
    </xf>
    <xf numFmtId="0" fontId="13" fillId="0" borderId="1" xfId="0" applyFont="1" applyBorder="1" applyProtection="1"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2" fontId="1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9" xfId="0" applyFont="1" applyBorder="1" applyAlignment="1" applyProtection="1">
      <alignment horizontal="left"/>
      <protection locked="0"/>
    </xf>
    <xf numFmtId="4" fontId="3" fillId="0" borderId="2" xfId="0" applyNumberFormat="1" applyFont="1" applyBorder="1" applyAlignment="1">
      <alignment horizontal="right"/>
    </xf>
    <xf numFmtId="0" fontId="22" fillId="0" borderId="0" xfId="0" applyFont="1"/>
    <xf numFmtId="0" fontId="24" fillId="0" borderId="0" xfId="0" applyFont="1" applyAlignment="1">
      <alignment horizontal="center" vertical="center" wrapText="1"/>
    </xf>
    <xf numFmtId="2" fontId="24" fillId="0" borderId="0" xfId="0" applyNumberFormat="1" applyFont="1" applyAlignment="1">
      <alignment horizontal="right"/>
    </xf>
    <xf numFmtId="0" fontId="2" fillId="2" borderId="1" xfId="0" applyFont="1" applyFill="1" applyBorder="1" applyAlignment="1" applyProtection="1">
      <alignment horizontal="right"/>
      <protection locked="0"/>
    </xf>
    <xf numFmtId="4" fontId="10" fillId="4" borderId="1" xfId="2" applyNumberFormat="1" applyFont="1" applyFill="1" applyBorder="1" applyAlignment="1">
      <alignment horizontal="right"/>
    </xf>
    <xf numFmtId="0" fontId="0" fillId="2" borderId="13" xfId="0" applyFill="1" applyBorder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4" fontId="12" fillId="2" borderId="1" xfId="0" applyNumberFormat="1" applyFont="1" applyFill="1" applyBorder="1" applyAlignment="1" applyProtection="1">
      <alignment horizontal="right"/>
      <protection locked="0"/>
    </xf>
    <xf numFmtId="4" fontId="2" fillId="2" borderId="1" xfId="0" applyNumberFormat="1" applyFont="1" applyFill="1" applyBorder="1" applyAlignment="1" applyProtection="1">
      <alignment horizontal="right"/>
      <protection locked="0"/>
    </xf>
    <xf numFmtId="4" fontId="10" fillId="0" borderId="1" xfId="2" applyNumberFormat="1" applyFont="1" applyBorder="1" applyAlignment="1" applyProtection="1">
      <alignment horizontal="right"/>
    </xf>
    <xf numFmtId="0" fontId="25" fillId="0" borderId="0" xfId="0" applyFont="1"/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" fontId="27" fillId="2" borderId="1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Alignment="1">
      <alignment horizontal="center"/>
    </xf>
    <xf numFmtId="0" fontId="28" fillId="0" borderId="16" xfId="0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wrapText="1"/>
    </xf>
    <xf numFmtId="4" fontId="3" fillId="0" borderId="1" xfId="0" applyNumberFormat="1" applyFont="1" applyBorder="1" applyAlignment="1">
      <alignment horizontal="right" wrapText="1"/>
    </xf>
    <xf numFmtId="2" fontId="9" fillId="5" borderId="0" xfId="0" applyNumberFormat="1" applyFont="1" applyFill="1"/>
    <xf numFmtId="0" fontId="13" fillId="5" borderId="0" xfId="0" applyFont="1" applyFill="1"/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4" fontId="9" fillId="0" borderId="6" xfId="0" applyNumberFormat="1" applyFont="1" applyBorder="1"/>
    <xf numFmtId="4" fontId="0" fillId="0" borderId="1" xfId="0" applyNumberFormat="1" applyBorder="1" applyProtection="1">
      <protection locked="0"/>
    </xf>
    <xf numFmtId="4" fontId="9" fillId="0" borderId="0" xfId="0" applyNumberFormat="1" applyFont="1"/>
    <xf numFmtId="0" fontId="29" fillId="5" borderId="12" xfId="0" applyFont="1" applyFill="1" applyBorder="1"/>
    <xf numFmtId="4" fontId="29" fillId="5" borderId="0" xfId="0" applyNumberFormat="1" applyFont="1" applyFill="1"/>
    <xf numFmtId="0" fontId="25" fillId="0" borderId="0" xfId="0" applyFont="1" applyAlignment="1">
      <alignment horizontal="center" wrapText="1"/>
    </xf>
    <xf numFmtId="4" fontId="30" fillId="2" borderId="1" xfId="0" applyNumberFormat="1" applyFont="1" applyFill="1" applyBorder="1" applyAlignment="1" applyProtection="1">
      <alignment horizontal="center"/>
      <protection locked="0"/>
    </xf>
    <xf numFmtId="0" fontId="16" fillId="3" borderId="0" xfId="0" applyFont="1" applyFill="1" applyAlignment="1">
      <alignment horizontal="center" wrapText="1"/>
    </xf>
    <xf numFmtId="0" fontId="31" fillId="3" borderId="17" xfId="0" applyFont="1" applyFill="1" applyBorder="1"/>
    <xf numFmtId="0" fontId="31" fillId="3" borderId="18" xfId="0" applyFont="1" applyFill="1" applyBorder="1"/>
    <xf numFmtId="0" fontId="0" fillId="4" borderId="17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/>
    <xf numFmtId="0" fontId="0" fillId="0" borderId="17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18" xfId="0" applyBorder="1"/>
    <xf numFmtId="0" fontId="0" fillId="4" borderId="18" xfId="0" applyFill="1" applyBorder="1"/>
    <xf numFmtId="0" fontId="31" fillId="3" borderId="19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5" fontId="3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" fontId="0" fillId="5" borderId="0" xfId="0" applyNumberFormat="1" applyFill="1"/>
    <xf numFmtId="4" fontId="0" fillId="6" borderId="0" xfId="0" applyNumberFormat="1" applyFill="1"/>
    <xf numFmtId="0" fontId="16" fillId="3" borderId="18" xfId="0" applyFont="1" applyFill="1" applyBorder="1" applyAlignment="1">
      <alignment horizontal="center" vertical="center" wrapText="1"/>
    </xf>
    <xf numFmtId="166" fontId="18" fillId="4" borderId="20" xfId="0" applyNumberFormat="1" applyFont="1" applyFill="1" applyBorder="1"/>
    <xf numFmtId="166" fontId="18" fillId="0" borderId="20" xfId="0" applyNumberFormat="1" applyFont="1" applyBorder="1"/>
    <xf numFmtId="168" fontId="0" fillId="2" borderId="1" xfId="0" applyNumberFormat="1" applyFill="1" applyBorder="1" applyAlignment="1" applyProtection="1">
      <alignment horizontal="center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2" fontId="0" fillId="2" borderId="1" xfId="0" applyNumberFormat="1" applyFill="1" applyBorder="1" applyAlignment="1" applyProtection="1">
      <alignment horizontal="right"/>
      <protection locked="0"/>
    </xf>
    <xf numFmtId="0" fontId="2" fillId="0" borderId="0" xfId="0" applyFont="1"/>
    <xf numFmtId="0" fontId="32" fillId="0" borderId="12" xfId="0" applyFont="1" applyBorder="1"/>
    <xf numFmtId="0" fontId="33" fillId="0" borderId="0" xfId="0" applyFont="1"/>
    <xf numFmtId="0" fontId="34" fillId="0" borderId="0" xfId="0" applyFont="1"/>
    <xf numFmtId="4" fontId="33" fillId="0" borderId="1" xfId="0" applyNumberFormat="1" applyFont="1" applyBorder="1" applyAlignment="1">
      <alignment horizontal="right" wrapText="1"/>
    </xf>
    <xf numFmtId="4" fontId="33" fillId="8" borderId="1" xfId="0" applyNumberFormat="1" applyFont="1" applyFill="1" applyBorder="1" applyAlignment="1">
      <alignment horizontal="right" wrapText="1"/>
    </xf>
    <xf numFmtId="4" fontId="33" fillId="9" borderId="1" xfId="0" applyNumberFormat="1" applyFont="1" applyFill="1" applyBorder="1" applyAlignment="1">
      <alignment horizontal="right" wrapText="1"/>
    </xf>
    <xf numFmtId="0" fontId="32" fillId="0" borderId="0" xfId="0" applyFont="1"/>
    <xf numFmtId="0" fontId="0" fillId="0" borderId="0" xfId="0" applyAlignment="1">
      <alignment vertical="center" wrapText="1"/>
    </xf>
    <xf numFmtId="47" fontId="0" fillId="0" borderId="0" xfId="0" applyNumberFormat="1" applyAlignment="1">
      <alignment vertical="center" wrapText="1"/>
    </xf>
    <xf numFmtId="0" fontId="0" fillId="4" borderId="21" xfId="0" applyFill="1" applyBorder="1"/>
    <xf numFmtId="0" fontId="0" fillId="7" borderId="1" xfId="0" applyFill="1" applyBorder="1"/>
    <xf numFmtId="4" fontId="32" fillId="8" borderId="1" xfId="0" applyNumberFormat="1" applyFont="1" applyFill="1" applyBorder="1" applyAlignment="1" applyProtection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</cellXfs>
  <cellStyles count="3">
    <cellStyle name="Millares" xfId="1" builtinId="3"/>
    <cellStyle name="Normal" xfId="0" builtinId="0"/>
    <cellStyle name="Porcentaje" xfId="2" builtinId="5"/>
  </cellStyles>
  <dxfs count="125">
    <dxf>
      <numFmt numFmtId="4" formatCode="#,##0.00"/>
      <fill>
        <patternFill patternType="solid">
          <fgColor indexed="64"/>
          <bgColor theme="7"/>
        </patternFill>
      </fill>
    </dxf>
    <dxf>
      <numFmt numFmtId="4" formatCode="#,##0.00"/>
      <fill>
        <patternFill patternType="solid">
          <fgColor indexed="64"/>
          <bgColor rgb="FFFFFF00"/>
        </patternFill>
      </fill>
    </dxf>
    <dxf>
      <numFmt numFmtId="4" formatCode="#,##0.00"/>
    </dxf>
    <dxf>
      <font>
        <b/>
        <color theme="8" tint="-0.249977111117893"/>
      </font>
      <numFmt numFmtId="166" formatCode="#,##0.00_ ;\-#,##0.00\ 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4" formatCode="#,##0.00"/>
      <fill>
        <patternFill patternType="solid">
          <fgColor indexed="64"/>
          <bgColor theme="7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theme="8" tint="-0.249977111117893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0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numFmt numFmtId="4" formatCode="#,##0.00"/>
    </dxf>
    <dxf>
      <font>
        <b/>
        <color theme="8" tint="-0.249977111117893"/>
      </font>
      <numFmt numFmtId="166" formatCode="#,##0.00_ ;\-#,##0.00\ 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#,##0.00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4" formatCode="#,##0.00"/>
      <fill>
        <patternFill patternType="solid">
          <fgColor indexed="64"/>
          <bgColor theme="7"/>
        </patternFill>
      </fill>
    </dxf>
    <dxf>
      <numFmt numFmtId="4" formatCode="#,##0.00"/>
      <fill>
        <patternFill patternType="solid">
          <fgColor indexed="64"/>
          <bgColor rgb="FFFFFF00"/>
        </patternFill>
      </fill>
    </dxf>
    <dxf>
      <numFmt numFmtId="4" formatCode="#,##0.00"/>
    </dxf>
    <dxf>
      <font>
        <b/>
        <color theme="8" tint="-0.249977111117893"/>
      </font>
      <numFmt numFmtId="166" formatCode="#,##0.00_ ;\-#,##0.00\ 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#,##0.00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4" formatCode="#,##0.00"/>
    </dxf>
    <dxf>
      <font>
        <b/>
        <color theme="8" tint="-0.249977111117893"/>
      </font>
      <numFmt numFmtId="166" formatCode="#,##0.00_ ;\-#,##0.00\ 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#,##0.00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4" formatCode="#,##0.00"/>
      <fill>
        <patternFill patternType="solid">
          <fgColor indexed="64"/>
          <bgColor theme="7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theme="8" tint="-0.249977111117893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165" formatCode="#,##0.0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indexed="64"/>
          <bgColor theme="5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4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0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497114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1975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47625</xdr:rowOff>
        </xdr:from>
        <xdr:to>
          <xdr:col>9</xdr:col>
          <xdr:colOff>971550</xdr:colOff>
          <xdr:row>0</xdr:row>
          <xdr:rowOff>781050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xmlns="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933450</xdr:colOff>
          <xdr:row>0</xdr:row>
          <xdr:rowOff>762000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xmlns="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11</xdr:col>
          <xdr:colOff>1000125</xdr:colOff>
          <xdr:row>0</xdr:row>
          <xdr:rowOff>790575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xmlns="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13</xdr:col>
          <xdr:colOff>19050</xdr:colOff>
          <xdr:row>0</xdr:row>
          <xdr:rowOff>790575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xmlns="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66675</xdr:rowOff>
        </xdr:from>
        <xdr:to>
          <xdr:col>15</xdr:col>
          <xdr:colOff>200025</xdr:colOff>
          <xdr:row>0</xdr:row>
          <xdr:rowOff>781050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xmlns="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497114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3789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47625</xdr:rowOff>
        </xdr:from>
        <xdr:to>
          <xdr:col>9</xdr:col>
          <xdr:colOff>971550</xdr:colOff>
          <xdr:row>0</xdr:row>
          <xdr:rowOff>781050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933450</xdr:colOff>
          <xdr:row>0</xdr:row>
          <xdr:rowOff>762000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11</xdr:col>
          <xdr:colOff>1000125</xdr:colOff>
          <xdr:row>0</xdr:row>
          <xdr:rowOff>790575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13</xdr:col>
          <xdr:colOff>19050</xdr:colOff>
          <xdr:row>0</xdr:row>
          <xdr:rowOff>790575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66675</xdr:rowOff>
        </xdr:from>
        <xdr:to>
          <xdr:col>15</xdr:col>
          <xdr:colOff>200025</xdr:colOff>
          <xdr:row>0</xdr:row>
          <xdr:rowOff>781050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497114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3789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47625</xdr:rowOff>
        </xdr:from>
        <xdr:to>
          <xdr:col>9</xdr:col>
          <xdr:colOff>971550</xdr:colOff>
          <xdr:row>0</xdr:row>
          <xdr:rowOff>781050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933450</xdr:colOff>
          <xdr:row>0</xdr:row>
          <xdr:rowOff>762000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11</xdr:col>
          <xdr:colOff>1000125</xdr:colOff>
          <xdr:row>0</xdr:row>
          <xdr:rowOff>790575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13</xdr:col>
          <xdr:colOff>19050</xdr:colOff>
          <xdr:row>0</xdr:row>
          <xdr:rowOff>790575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3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66675</xdr:rowOff>
        </xdr:from>
        <xdr:to>
          <xdr:col>15</xdr:col>
          <xdr:colOff>200025</xdr:colOff>
          <xdr:row>0</xdr:row>
          <xdr:rowOff>781050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3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1975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47625</xdr:rowOff>
        </xdr:from>
        <xdr:to>
          <xdr:col>7</xdr:col>
          <xdr:colOff>971550</xdr:colOff>
          <xdr:row>0</xdr:row>
          <xdr:rowOff>781050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38100</xdr:rowOff>
        </xdr:from>
        <xdr:to>
          <xdr:col>8</xdr:col>
          <xdr:colOff>933450</xdr:colOff>
          <xdr:row>0</xdr:row>
          <xdr:rowOff>762000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66675</xdr:rowOff>
        </xdr:from>
        <xdr:to>
          <xdr:col>9</xdr:col>
          <xdr:colOff>1000125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104775</xdr:rowOff>
        </xdr:from>
        <xdr:to>
          <xdr:col>11</xdr:col>
          <xdr:colOff>19050</xdr:colOff>
          <xdr:row>0</xdr:row>
          <xdr:rowOff>790575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66675</xdr:rowOff>
        </xdr:from>
        <xdr:to>
          <xdr:col>12</xdr:col>
          <xdr:colOff>0</xdr:colOff>
          <xdr:row>0</xdr:row>
          <xdr:rowOff>781050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270329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3789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47625</xdr:rowOff>
        </xdr:from>
        <xdr:to>
          <xdr:col>9</xdr:col>
          <xdr:colOff>971550</xdr:colOff>
          <xdr:row>0</xdr:row>
          <xdr:rowOff>781050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933450</xdr:colOff>
          <xdr:row>0</xdr:row>
          <xdr:rowOff>762000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11</xdr:col>
          <xdr:colOff>1000125</xdr:colOff>
          <xdr:row>0</xdr:row>
          <xdr:rowOff>790575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13</xdr:col>
          <xdr:colOff>19050</xdr:colOff>
          <xdr:row>0</xdr:row>
          <xdr:rowOff>790575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06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66675</xdr:rowOff>
        </xdr:from>
        <xdr:to>
          <xdr:col>15</xdr:col>
          <xdr:colOff>200025</xdr:colOff>
          <xdr:row>0</xdr:row>
          <xdr:rowOff>781050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06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130768</xdr:colOff>
      <xdr:row>0</xdr:row>
      <xdr:rowOff>866775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3789" cy="8667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47625</xdr:rowOff>
        </xdr:from>
        <xdr:to>
          <xdr:col>9</xdr:col>
          <xdr:colOff>971550</xdr:colOff>
          <xdr:row>0</xdr:row>
          <xdr:rowOff>781050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38100</xdr:rowOff>
        </xdr:from>
        <xdr:to>
          <xdr:col>10</xdr:col>
          <xdr:colOff>933450</xdr:colOff>
          <xdr:row>0</xdr:row>
          <xdr:rowOff>762000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Hoja de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11</xdr:col>
          <xdr:colOff>1000125</xdr:colOff>
          <xdr:row>0</xdr:row>
          <xdr:rowOff>790575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Importacion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13</xdr:col>
          <xdr:colOff>19050</xdr:colOff>
          <xdr:row>0</xdr:row>
          <xdr:rowOff>790575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xmlns="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de Importaciones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66675</xdr:rowOff>
        </xdr:from>
        <xdr:to>
          <xdr:col>15</xdr:col>
          <xdr:colOff>200025</xdr:colOff>
          <xdr:row>0</xdr:row>
          <xdr:rowOff>781050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xmlns="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Importacion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a13432385" displayName="Tabla13432385" ref="G19:AA52" totalsRowShown="0">
  <autoFilter ref="G19:AA52"/>
  <tableColumns count="21">
    <tableColumn id="1" name="P.UNIT" dataDxfId="124"/>
    <tableColumn id="2" name="FOB UNITARIO" dataDxfId="123" dataCellStyle="Porcentaje">
      <calculatedColumnFormula>IF(C20&lt;&gt;0,C20*G20,"")</calculatedColumnFormula>
    </tableColumn>
    <tableColumn id="3" name="Distribucion Gastos Generales" dataDxfId="122" dataCellStyle="Porcentaje">
      <calculatedColumnFormula>IF(C20&lt;&gt;0,+I$15*D20/100,"")</calculatedColumnFormula>
    </tableColumn>
    <tableColumn id="18" name="Seguro" dataDxfId="121" dataCellStyle="Porcentaje">
      <calculatedColumnFormula>IF(C20&lt;&gt;0,+J$52*$D20/100, "")</calculatedColumnFormula>
    </tableColumn>
    <tableColumn id="19" name="Flete" dataDxfId="120" dataCellStyle="Porcentaje">
      <calculatedColumnFormula>IF(C20&lt;&gt;0,+K$52*D20/100,"")</calculatedColumnFormula>
    </tableColumn>
    <tableColumn id="17" name="Valor CIF" dataDxfId="119" dataCellStyle="Porcentaje">
      <calculatedColumnFormula>IF(C20&lt;&gt;0,+H20+K20+J20,"")</calculatedColumnFormula>
    </tableColumn>
    <tableColumn id="4" name="Fodinfa" dataDxfId="118" dataCellStyle="Porcentaje">
      <calculatedColumnFormula>SUBTOTAL(109,Tabla13432385[Fodinfa])</calculatedColumnFormula>
    </tableColumn>
    <tableColumn id="5" name="Ad Valorem" dataDxfId="117" dataCellStyle="Porcentaje">
      <calculatedColumnFormula>SUBTOTAL(109,Tabla13432385[Ad Valorem])</calculatedColumnFormula>
    </tableColumn>
    <tableColumn id="9" name="Base Para el Iva" dataDxfId="116" dataCellStyle="Porcentaje">
      <calculatedColumnFormula>SUBTOTAL(109,Tabla13432385[Base Para el Iva])</calculatedColumnFormula>
    </tableColumn>
    <tableColumn id="15" name="IVA" dataDxfId="115" dataCellStyle="Porcentaje">
      <calculatedColumnFormula>SUBTOTAL(109,Tabla13432385[IVA])</calculatedColumnFormula>
    </tableColumn>
    <tableColumn id="6" name="TOTAL GASTOS" dataDxfId="114" dataCellStyle="Porcentaje">
      <calculatedColumnFormula>SUBTOTAL(109,Tabla13432385[TOTAL GASTOS])</calculatedColumnFormula>
    </tableColumn>
    <tableColumn id="8" name="COSTO TOTAL " dataDxfId="113" dataCellStyle="Porcentaje">
      <calculatedColumnFormula>SUBTOTAL(109,Tabla13432385[[COSTO TOTAL ]])</calculatedColumnFormula>
    </tableColumn>
    <tableColumn id="7" name="COSTO UNITARIO " dataDxfId="112" dataCellStyle="Porcentaje">
      <calculatedColumnFormula>SUM(Tabla13432385[[#This Row],[Fodinfa]:[COSTO TOTAL ]])</calculatedColumnFormula>
    </tableColumn>
    <tableColumn id="11" name="%  Gasto" dataDxfId="111" dataCellStyle="Porcentaje">
      <calculatedColumnFormula>SUBTOTAL(109,Tabla13432385[%  Gasto])</calculatedColumnFormula>
    </tableColumn>
    <tableColumn id="21" name="%  MARGEN DE GANANCIA" dataDxfId="110" dataCellStyle="Porcentaje"/>
    <tableColumn id="16" name="Precio de Venta Calculado" dataDxfId="109" dataCellStyle="Porcentaje">
      <calculatedColumnFormula>IF(C20&lt;&gt;"",S20+(S20*U20/100),"")</calculatedColumnFormula>
    </tableColumn>
    <tableColumn id="24" name="Precio de Venta en Mercado en Dolares" dataDxfId="108" dataCellStyle="Porcentaje"/>
    <tableColumn id="22" name="Venta Total Sin Iva" dataDxfId="107">
      <calculatedColumnFormula>SUBTOTAL(109,Tabla13432385[Venta Total Sin Iva])</calculatedColumnFormula>
    </tableColumn>
    <tableColumn id="23" name="Utilidad de la Importacion" dataDxfId="106">
      <calculatedColumnFormula>SUBTOTAL(109,Tabla13432385[Utilidad de la Importacion])</calculatedColumnFormula>
    </tableColumn>
    <tableColumn id="10" name="Proyeccion Ventas" dataDxfId="105">
      <calculatedColumnFormula>IF(C20&lt;&gt;"",+Tabla13432385[Precio de Venta en Mercado en Dolares]*C20,"")</calculatedColumnFormula>
    </tableColumn>
    <tableColumn id="12" name="Proyeccion de Utilidad" dataDxfId="104">
      <calculatedColumnFormula>IF(C20&lt;&gt;"",+Tabla13432385[Proyeccion Ventas]-Tabla13432385[[COSTO TOTAL 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a13439" displayName="Tabla13439" ref="G19:X37" totalsRowShown="0">
  <autoFilter ref="G19:X37"/>
  <tableColumns count="18">
    <tableColumn id="1" name="P.UNIT" dataDxfId="103"/>
    <tableColumn id="2" name="FOB UNITARIO" dataDxfId="102" dataCellStyle="Porcentaje">
      <calculatedColumnFormula>IF(C20&lt;&gt;0,C20*G20,"")</calculatedColumnFormula>
    </tableColumn>
    <tableColumn id="3" name="Distribucion Gastos Generales" dataDxfId="101" dataCellStyle="Porcentaje">
      <calculatedColumnFormula>IF(C20&lt;&gt;0,+I$15*D20/100,"")</calculatedColumnFormula>
    </tableColumn>
    <tableColumn id="18" name="Seguro" dataDxfId="100" dataCellStyle="Porcentaje">
      <calculatedColumnFormula>IF(C20&lt;&gt;0,+J$38*$D20/100, "")</calculatedColumnFormula>
    </tableColumn>
    <tableColumn id="19" name="Flete" dataDxfId="99" dataCellStyle="Porcentaje">
      <calculatedColumnFormula>IF(C20&lt;&gt;0,+K$38*D20/100,"")</calculatedColumnFormula>
    </tableColumn>
    <tableColumn id="17" name="Valor CIF" dataDxfId="98" dataCellStyle="Porcentaje">
      <calculatedColumnFormula>IF(C20&lt;&gt;0,+H20+K20+J20,"")</calculatedColumnFormula>
    </tableColumn>
    <tableColumn id="4" name="Fodinfa" dataDxfId="97" dataCellStyle="Porcentaje">
      <calculatedColumnFormula>IF(C20&lt;&gt;0,+L20*0.005,"")</calculatedColumnFormula>
    </tableColumn>
    <tableColumn id="5" name="Ad Valorem" dataDxfId="96" dataCellStyle="Porcentaje">
      <calculatedColumnFormula>IF(C20&lt;&gt;"",VLOOKUP(A20,Aranceles,3,0)*L20/100,"")</calculatedColumnFormula>
    </tableColumn>
    <tableColumn id="9" name="Base Para el Iva" dataDxfId="95" dataCellStyle="Porcentaje">
      <calculatedColumnFormula>IF(C20&lt;&gt;0,+L20+M20+N20,"")</calculatedColumnFormula>
    </tableColumn>
    <tableColumn id="15" name="IVA" dataDxfId="94" dataCellStyle="Porcentaje">
      <calculatedColumnFormula>IF(C20&lt;&gt;0,+Tabla13439[[#This Row],[Base Para el Iva]]*B$10/100,"")</calculatedColumnFormula>
    </tableColumn>
    <tableColumn id="6" name="COSTO TOTAL" dataDxfId="93" dataCellStyle="Porcentaje">
      <calculatedColumnFormula>IF(C20&lt;&gt;0,+H20+I20+K20+M20+N20+P20,"")</calculatedColumnFormula>
    </tableColumn>
    <tableColumn id="7" name="COSTO UNITARIO " dataDxfId="92" dataCellStyle="Porcentaje">
      <calculatedColumnFormula>IF(C20&lt;&gt;0,+Q20/C20,"")</calculatedColumnFormula>
    </tableColumn>
    <tableColumn id="11" name="%  Gasto" dataDxfId="91" dataCellStyle="Porcentaje">
      <calculatedColumnFormula>IF(C20&lt;&gt;0,($R20-$G20)/$G20*100,"")</calculatedColumnFormula>
    </tableColumn>
    <tableColumn id="21" name="MARGEN DE GANANCIA" dataDxfId="90" dataCellStyle="Porcentaje"/>
    <tableColumn id="16" name="Precio de Venta Calculado" dataDxfId="89" dataCellStyle="Porcentaje">
      <calculatedColumnFormula>IF(C20&lt;&gt;0,R20+(R20*T20/100),"")</calculatedColumnFormula>
    </tableColumn>
    <tableColumn id="24" name="Precio de Venta en Mercado" dataDxfId="88" dataCellStyle="Porcentaje"/>
    <tableColumn id="22" name="Venta Total" dataDxfId="87">
      <calculatedColumnFormula>IF(C20&lt;&gt;0,+C20*U20,"")</calculatedColumnFormula>
    </tableColumn>
    <tableColumn id="23" name="Utilidad de la Importacion" dataDxfId="86">
      <calculatedColumnFormula>IF(C20&lt;&gt;0,+W20-Q20,"")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1343234" displayName="Tabla1343234" ref="G19:AA37" totalsRowShown="0">
  <autoFilter ref="G19:AA37"/>
  <tableColumns count="21">
    <tableColumn id="1" name="P.UNIT" dataDxfId="85"/>
    <tableColumn id="2" name="FOB UNITARIO" dataDxfId="84" dataCellStyle="Porcentaje">
      <calculatedColumnFormula>IF(C20&lt;&gt;0,C20*G20,"")</calculatedColumnFormula>
    </tableColumn>
    <tableColumn id="3" name="Distribucion Gastos Generales" dataDxfId="83" dataCellStyle="Porcentaje">
      <calculatedColumnFormula>IF(C20&lt;&gt;0,+I$15*D20/100,"")</calculatedColumnFormula>
    </tableColumn>
    <tableColumn id="18" name="Seguro" dataDxfId="82" dataCellStyle="Porcentaje">
      <calculatedColumnFormula>IF(C20&lt;&gt;0,+J$38*$D20/100, "")</calculatedColumnFormula>
    </tableColumn>
    <tableColumn id="19" name="Flete" dataDxfId="81" dataCellStyle="Porcentaje">
      <calculatedColumnFormula>IF(C20&lt;&gt;0,+K$38*D20/100,"")</calculatedColumnFormula>
    </tableColumn>
    <tableColumn id="17" name="Valor CIF" dataDxfId="80" dataCellStyle="Porcentaje">
      <calculatedColumnFormula>IF(C20&lt;&gt;0,+H20+K20+J20,"")</calculatedColumnFormula>
    </tableColumn>
    <tableColumn id="4" name="Fodinfa" dataDxfId="79" dataCellStyle="Porcentaje">
      <calculatedColumnFormula>IF(C20&lt;&gt;0,+L20*0.005,"")</calculatedColumnFormula>
    </tableColumn>
    <tableColumn id="5" name="Ad Valorem" dataDxfId="78" dataCellStyle="Porcentaje">
      <calculatedColumnFormula>IF(C20&lt;&gt;"",VLOOKUP(A20,Aranceles,3,0)*L20/100,"")</calculatedColumnFormula>
    </tableColumn>
    <tableColumn id="9" name="Base Para el Iva" dataDxfId="77" dataCellStyle="Porcentaje">
      <calculatedColumnFormula>IF(C20&lt;&gt;0,+L20+M20+N20,"")</calculatedColumnFormula>
    </tableColumn>
    <tableColumn id="15" name="IVA" dataDxfId="76" dataCellStyle="Porcentaje">
      <calculatedColumnFormula>IF(C20&lt;&gt;0,+Tabla1343234[[#This Row],[Base Para el Iva]]*B$10/100,"")</calculatedColumnFormula>
    </tableColumn>
    <tableColumn id="6" name="TOTAL GASTOS" dataDxfId="75" dataCellStyle="Porcentaje">
      <calculatedColumnFormula>IF(C20&lt;&gt;0,+I20+J20+K20+M20+N20,"")</calculatedColumnFormula>
    </tableColumn>
    <tableColumn id="8" name="COSTO TOTAL " dataDxfId="74" dataCellStyle="Porcentaje">
      <calculatedColumnFormula>IF(C20&lt;&gt;0,+Q20+F20,"")</calculatedColumnFormula>
    </tableColumn>
    <tableColumn id="7" name="COSTO UNITARIO " dataDxfId="73" dataCellStyle="Porcentaje">
      <calculatedColumnFormula>IF(C20&lt;&gt;"",+R20/C20,"")</calculatedColumnFormula>
    </tableColumn>
    <tableColumn id="11" name="%  Gasto" dataDxfId="72" dataCellStyle="Porcentaje">
      <calculatedColumnFormula>IF(C20&lt;&gt;"",+Tabla1343234[[#This Row],[COSTO TOTAL ]]/R$38*100,"")</calculatedColumnFormula>
    </tableColumn>
    <tableColumn id="21" name="%  MARGEN DE GANANCIA" dataDxfId="71" dataCellStyle="Porcentaje"/>
    <tableColumn id="16" name="Precio de Venta Calculado" dataDxfId="70" dataCellStyle="Porcentaje">
      <calculatedColumnFormula>IF(C20&lt;&gt;"",S20+(S20*U20/100),"")</calculatedColumnFormula>
    </tableColumn>
    <tableColumn id="24" name="Precio de Venta en Mercado en Dolares" dataDxfId="69" dataCellStyle="Porcentaje"/>
    <tableColumn id="22" name="Venta Total" dataDxfId="68">
      <calculatedColumnFormula>IF(C20&lt;&gt;"",+C20*V20,"")</calculatedColumnFormula>
    </tableColumn>
    <tableColumn id="23" name="Utilidad de la Importacion" dataDxfId="67">
      <calculatedColumnFormula>IF(C20&lt;&gt;"",+X20-R20,"")</calculatedColumnFormula>
    </tableColumn>
    <tableColumn id="10" name="Proyeccion Ventas" dataDxfId="66">
      <calculatedColumnFormula>IF(C20&lt;&gt;"",+Tabla1343234[[#This Row],[Precio de Venta en Mercado en Dolares]]*C20,"")</calculatedColumnFormula>
    </tableColumn>
    <tableColumn id="12" name="Proyeccion de Utilidad" dataDxfId="65">
      <calculatedColumnFormula>IF(C20&lt;&gt;"",+Tabla1343234[[#This Row],[Proyeccion Ventas]]-Tabla1343234[[#This Row],[COSTO TOTAL ]],"")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136" displayName="Tabla136" ref="E19:V34" totalsRowShown="0">
  <autoFilter ref="E19:V34"/>
  <tableColumns count="18">
    <tableColumn id="1" name="P.UNIT" dataDxfId="64"/>
    <tableColumn id="2" name="FOB UNITARIO" dataDxfId="63" dataCellStyle="Porcentaje">
      <calculatedColumnFormula>IF(C20&lt;&gt;0,C20*E20,"")</calculatedColumnFormula>
    </tableColumn>
    <tableColumn id="3" name="Distribucion Gastos Generales" dataDxfId="62" dataCellStyle="Porcentaje">
      <calculatedColumnFormula>IF(C20&lt;&gt;0,+G$15*D20/100,"")</calculatedColumnFormula>
    </tableColumn>
    <tableColumn id="18" name="Seguro" dataDxfId="61" dataCellStyle="Porcentaje">
      <calculatedColumnFormula>IF(C20&lt;&gt;0,+H$35*$D20/100, "")</calculatedColumnFormula>
    </tableColumn>
    <tableColumn id="19" name="Flete" dataDxfId="60" dataCellStyle="Porcentaje">
      <calculatedColumnFormula>IF(C20&lt;&gt;0,+I$35*D20/100,"")</calculatedColumnFormula>
    </tableColumn>
    <tableColumn id="17" name="Valor CIF" dataDxfId="59" dataCellStyle="Porcentaje">
      <calculatedColumnFormula>IF(C20&lt;&gt;0,+Tabla136[[#This Row],[Flete]]+Tabla136[[#This Row],[Seguro]]+Tabla136[[#This Row],[FOB UNITARIO]],"")</calculatedColumnFormula>
    </tableColumn>
    <tableColumn id="4" name="Fodinfa" dataDxfId="58" dataCellStyle="Porcentaje">
      <calculatedColumnFormula>IF(C20&lt;&gt;0,+Tabla136[[#This Row],[Valor CIF]]*0.005,"")</calculatedColumnFormula>
    </tableColumn>
    <tableColumn id="5" name="Ad Valorem" dataDxfId="57" dataCellStyle="Porcentaje">
      <calculatedColumnFormula>IF(C20&lt;&gt;0,+(VLOOKUP(A20,Tabla17[[Partida]:[Tasa Advalorem]],3,0))*J20/100,"")</calculatedColumnFormula>
    </tableColumn>
    <tableColumn id="9" name="BASE PARA EL I.V.A." dataDxfId="56" dataCellStyle="Porcentaje">
      <calculatedColumnFormula>IF(C20&lt;&gt;0,+Tabla136[[#This Row],[Ad Valorem]]+Tabla136[[#This Row],[Fodinfa]]+Tabla136[[#This Row],[Valor CIF]],"")</calculatedColumnFormula>
    </tableColumn>
    <tableColumn id="10" name="I.V.A." dataDxfId="55" dataCellStyle="Porcentaje">
      <calculatedColumnFormula>IF(C20&lt;&gt;0,+Tabla136[[#This Row],[BASE PARA EL I.V.A.]]*B$10/100,"")</calculatedColumnFormula>
    </tableColumn>
    <tableColumn id="6" name="COSTO TOTAL" dataDxfId="54" dataCellStyle="Porcentaje">
      <calculatedColumnFormula>IF(C20&lt;&gt;0,+Tabla136[[#This Row],[FOB UNITARIO]]+Tabla136[[#This Row],[Distribucion Gastos Generales]]+Tabla136[[#This Row],[Flete]]+Tabla136[[#This Row],[Fodinfa]]+Tabla136[[#This Row],[Ad Valorem]]+Tabla136[[#This Row],[I.V.A.]],"")</calculatedColumnFormula>
    </tableColumn>
    <tableColumn id="7" name="COSTO UNITARIO " dataDxfId="53" dataCellStyle="Porcentaje">
      <calculatedColumnFormula>IF(C20&lt;&gt;0,+Tabla136[[#This Row],[COSTO TOTAL]]/C20,"")</calculatedColumnFormula>
    </tableColumn>
    <tableColumn id="21" name="MARGEN DE GANANCIA" dataDxfId="52" dataCellStyle="Porcentaje"/>
    <tableColumn id="16" name="Precio de Venta Calculado" dataDxfId="51" dataCellStyle="Porcentaje">
      <calculatedColumnFormula>IF(C20&lt;&gt;0,+Tabla136[[#This Row],[COSTO UNITARIO ]]+(Tabla136[[#This Row],[COSTO UNITARIO ]]*Q20/100),"")</calculatedColumnFormula>
    </tableColumn>
    <tableColumn id="24" name="Precio de Venta en Mercado" dataDxfId="50" dataCellStyle="Porcentaje"/>
    <tableColumn id="8" name="Porcentaje de Gasto" dataDxfId="49">
      <calculatedColumnFormula>IF(C20&lt;&gt;0,+Tabla136[[#This Row],[COSTO TOTAL]]/O$35*100,"")</calculatedColumnFormula>
    </tableColumn>
    <tableColumn id="22" name="Venta Total" dataDxfId="48">
      <calculatedColumnFormula>IF(C20&lt;&gt;0,+C20*Tabla136[[#This Row],[Precio de Venta Calculado]],"")</calculatedColumnFormula>
    </tableColumn>
    <tableColumn id="23" name="Utilidad de la Importacion" dataDxfId="47">
      <calculatedColumnFormula>IF(C20&lt;&gt;0,+Tabla136[[#This Row],[Venta Total]]-Tabla136[[#This Row],[COSTO TOTAL]],"")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a17" displayName="Tabla17" ref="Z2:AC226" totalsRowShown="0" dataDxfId="46">
  <autoFilter ref="Z2:AC226"/>
  <tableColumns count="4">
    <tableColumn id="1" name="Codigo" dataDxfId="45"/>
    <tableColumn id="2" name="Partida" dataDxfId="44"/>
    <tableColumn id="4" name="Descripcion" dataDxfId="43"/>
    <tableColumn id="3" name="Tasa Advalorem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a1343238" displayName="Tabla1343238" ref="G19:AA52" totalsRowShown="0">
  <autoFilter ref="G19:AA52"/>
  <tableColumns count="21">
    <tableColumn id="1" name="P.UNIT" dataDxfId="41"/>
    <tableColumn id="2" name="FOB UNITARIO" dataDxfId="40" dataCellStyle="Porcentaje">
      <calculatedColumnFormula>IF(C20&lt;&gt;0,C20*G20,"")</calculatedColumnFormula>
    </tableColumn>
    <tableColumn id="3" name="Distribucion Gastos Generales" dataDxfId="39" dataCellStyle="Porcentaje">
      <calculatedColumnFormula>IF(C20&lt;&gt;0,+I$15*D20/100,"")</calculatedColumnFormula>
    </tableColumn>
    <tableColumn id="18" name="Seguro" dataDxfId="38" dataCellStyle="Porcentaje">
      <calculatedColumnFormula>IF(C20&lt;&gt;0,+J$52*$D20/100, "")</calculatedColumnFormula>
    </tableColumn>
    <tableColumn id="19" name="Flete" dataDxfId="37" dataCellStyle="Porcentaje">
      <calculatedColumnFormula>IF(C20&lt;&gt;0,+K$52*D20/100,"")</calculatedColumnFormula>
    </tableColumn>
    <tableColumn id="17" name="Valor CIF" dataDxfId="36" dataCellStyle="Porcentaje">
      <calculatedColumnFormula>IF(C20&lt;&gt;0,+H20+K20+J20,"")</calculatedColumnFormula>
    </tableColumn>
    <tableColumn id="4" name="Fodinfa" dataDxfId="35" dataCellStyle="Porcentaje">
      <calculatedColumnFormula>SUBTOTAL(109,Tabla1343238[Fodinfa])</calculatedColumnFormula>
    </tableColumn>
    <tableColumn id="5" name="Ad Valorem" dataDxfId="34" dataCellStyle="Porcentaje">
      <calculatedColumnFormula>SUBTOTAL(109,Tabla1343238[Ad Valorem])</calculatedColumnFormula>
    </tableColumn>
    <tableColumn id="9" name="Base Para el Iva" dataDxfId="33" dataCellStyle="Porcentaje">
      <calculatedColumnFormula>SUBTOTAL(109,Tabla1343238[Base Para el Iva])</calculatedColumnFormula>
    </tableColumn>
    <tableColumn id="15" name="IVA" dataDxfId="32" dataCellStyle="Porcentaje">
      <calculatedColumnFormula>SUBTOTAL(109,Tabla1343238[IVA])</calculatedColumnFormula>
    </tableColumn>
    <tableColumn id="6" name="TOTAL GASTOS" dataDxfId="31" dataCellStyle="Porcentaje">
      <calculatedColumnFormula>SUBTOTAL(109,Tabla1343238[TOTAL GASTOS])</calculatedColumnFormula>
    </tableColumn>
    <tableColumn id="8" name="COSTO TOTAL " dataDxfId="30" dataCellStyle="Porcentaje">
      <calculatedColumnFormula>SUBTOTAL(109,Tabla1343238[[COSTO TOTAL ]])</calculatedColumnFormula>
    </tableColumn>
    <tableColumn id="7" name="COSTO UNITARIO " dataDxfId="29" dataCellStyle="Porcentaje">
      <calculatedColumnFormula>SUM(Tabla1343238[[#This Row],[Fodinfa]:[COSTO TOTAL ]])</calculatedColumnFormula>
    </tableColumn>
    <tableColumn id="11" name="%  Gasto" dataDxfId="28" dataCellStyle="Porcentaje">
      <calculatedColumnFormula>SUBTOTAL(109,Tabla1343238[%  Gasto])</calculatedColumnFormula>
    </tableColumn>
    <tableColumn id="21" name="%  MARGEN DE GANANCIA" dataDxfId="27" dataCellStyle="Porcentaje"/>
    <tableColumn id="16" name="Precio de Venta Calculado" dataDxfId="26" dataCellStyle="Porcentaje">
      <calculatedColumnFormula>IF(C20&lt;&gt;"",S20+(S20*U20/100),"")</calculatedColumnFormula>
    </tableColumn>
    <tableColumn id="24" name="Precio de Venta en Mercado en Dolares" dataDxfId="25" dataCellStyle="Porcentaje"/>
    <tableColumn id="22" name="Venta Total Sin Iva" dataDxfId="24">
      <calculatedColumnFormula>SUBTOTAL(109,Tabla1343238[Venta Total Sin Iva])</calculatedColumnFormula>
    </tableColumn>
    <tableColumn id="23" name="Utilidad de la Importacion" dataDxfId="23">
      <calculatedColumnFormula>SUBTOTAL(109,Tabla1343238[Utilidad de la Importacion])</calculatedColumnFormula>
    </tableColumn>
    <tableColumn id="10" name="Proyeccion Ventas" dataDxfId="22">
      <calculatedColumnFormula>IF(C20&lt;&gt;"",+Tabla1343238[Precio de Venta en Mercado en Dolares]*C20,"")</calculatedColumnFormula>
    </tableColumn>
    <tableColumn id="12" name="Proyeccion de Utilidad" dataDxfId="21">
      <calculatedColumnFormula>IF(C20&lt;&gt;"",+Tabla1343238[Proyeccion Ventas]-Tabla1343238[[COSTO TOTAL ]],"")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a13432" displayName="Tabla13432" ref="G19:AA37" totalsRowShown="0">
  <autoFilter ref="G19:AA37"/>
  <tableColumns count="21">
    <tableColumn id="1" name="P.UNIT" dataDxfId="20"/>
    <tableColumn id="2" name="FOB UNITARIO" dataDxfId="19" dataCellStyle="Porcentaje">
      <calculatedColumnFormula>IF(C20&lt;&gt;0,C20*G20,"")</calculatedColumnFormula>
    </tableColumn>
    <tableColumn id="3" name="Distribucion Gastos Generales" dataDxfId="18" dataCellStyle="Porcentaje">
      <calculatedColumnFormula>IF(C20&lt;&gt;0,+I$15*D20/100,"")</calculatedColumnFormula>
    </tableColumn>
    <tableColumn id="18" name="Seguro" dataDxfId="17" dataCellStyle="Porcentaje">
      <calculatedColumnFormula>IF(C20&lt;&gt;0,+J$38*$D20/100, "")</calculatedColumnFormula>
    </tableColumn>
    <tableColumn id="19" name="Flete" dataDxfId="16" dataCellStyle="Porcentaje">
      <calculatedColumnFormula>IF(C20&lt;&gt;0,+K$38*D20/100,"")</calculatedColumnFormula>
    </tableColumn>
    <tableColumn id="17" name="Valor CIF" dataDxfId="15" dataCellStyle="Porcentaje">
      <calculatedColumnFormula>IF(C20&lt;&gt;0,+H20+K20+J20,"")</calculatedColumnFormula>
    </tableColumn>
    <tableColumn id="4" name="Fodinfa" dataDxfId="14" dataCellStyle="Porcentaje">
      <calculatedColumnFormula>IF(C20&lt;&gt;0,+L20*0.005,"")</calculatedColumnFormula>
    </tableColumn>
    <tableColumn id="5" name="Ad Valorem" dataDxfId="13" dataCellStyle="Porcentaje">
      <calculatedColumnFormula>IF(C20&lt;&gt;"",VLOOKUP(A20,Aranceles,3,0)*L20/100,"")</calculatedColumnFormula>
    </tableColumn>
    <tableColumn id="9" name="Base Para el Iva" dataDxfId="12" dataCellStyle="Porcentaje">
      <calculatedColumnFormula>IF(C20&lt;&gt;0,+L20+M20+N20,"")</calculatedColumnFormula>
    </tableColumn>
    <tableColumn id="15" name="IVA" dataDxfId="11" dataCellStyle="Porcentaje">
      <calculatedColumnFormula>IF(C20&lt;&gt;0,+Tabla13432[[#This Row],[Base Para el Iva]]*B$10/100,"")</calculatedColumnFormula>
    </tableColumn>
    <tableColumn id="6" name="TOTAL GASTOS" dataDxfId="10" dataCellStyle="Porcentaje">
      <calculatedColumnFormula>IF(C20&lt;&gt;0,+I20+J20+K20+M20+N20,"")</calculatedColumnFormula>
    </tableColumn>
    <tableColumn id="8" name="COSTO TOTAL " dataDxfId="9" dataCellStyle="Porcentaje">
      <calculatedColumnFormula>IF(C20&lt;&gt;0,+Q20+F20,"")</calculatedColumnFormula>
    </tableColumn>
    <tableColumn id="7" name="COSTO UNITARIO " dataDxfId="8" dataCellStyle="Porcentaje">
      <calculatedColumnFormula>IF(C20&lt;&gt;"",+R20/C20,"")</calculatedColumnFormula>
    </tableColumn>
    <tableColumn id="11" name="%  Gasto" dataDxfId="7" dataCellStyle="Porcentaje">
      <calculatedColumnFormula>IF(C20&lt;&gt;"",++(Tabla13432[[#This Row],[COSTO UNITARIO ]]-E20)/E20*100,"")</calculatedColumnFormula>
    </tableColumn>
    <tableColumn id="21" name="%  MARGEN DE GANANCIA" dataDxfId="6" dataCellStyle="Porcentaje"/>
    <tableColumn id="16" name="Precio de Venta Calculado" dataDxfId="5" dataCellStyle="Porcentaje">
      <calculatedColumnFormula>IF(C20&lt;&gt;"",S20+(S20*U20/100),"")</calculatedColumnFormula>
    </tableColumn>
    <tableColumn id="24" name="Precio de Venta en Mercado en Dolares" dataDxfId="4" dataCellStyle="Porcentaje"/>
    <tableColumn id="22" name="Venta Total Sin Iva" dataDxfId="3">
      <calculatedColumnFormula>IF(C20&lt;&gt;"",+C20*V20,"")</calculatedColumnFormula>
    </tableColumn>
    <tableColumn id="23" name="Utilidad de la Importacion" dataDxfId="2">
      <calculatedColumnFormula>IF(C20&lt;&gt;"",+X20-R20,"")</calculatedColumnFormula>
    </tableColumn>
    <tableColumn id="10" name="Proyeccion Ventas" dataDxfId="1">
      <calculatedColumnFormula>IF(C20&lt;&gt;"",+Tabla13432[[#This Row],[Precio de Venta en Mercado en Dolares]]*C20,"")</calculatedColumnFormula>
    </tableColumn>
    <tableColumn id="12" name="Proyeccion de Utilidad" dataDxfId="0">
      <calculatedColumnFormula>IF(C20&lt;&gt;"",+Tabla13432[[#This Row],[Proyeccion Ventas]]-Tabla13432[[#This Row],[COSTO TOTAL 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11" Type="http://schemas.openxmlformats.org/officeDocument/2006/relationships/comments" Target="../comments4.xml"/><Relationship Id="rId5" Type="http://schemas.openxmlformats.org/officeDocument/2006/relationships/ctrlProp" Target="../ctrlProps/ctrlProp17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6.xml"/><Relationship Id="rId9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1.xm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omments" Target="../comments6.xml"/><Relationship Id="rId4" Type="http://schemas.openxmlformats.org/officeDocument/2006/relationships/ctrlProp" Target="../ctrlProps/ctrlProp26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01"/>
  <sheetViews>
    <sheetView workbookViewId="0">
      <selection activeCell="D21" sqref="D21"/>
    </sheetView>
  </sheetViews>
  <sheetFormatPr baseColWidth="10" defaultRowHeight="15" x14ac:dyDescent="0.25"/>
  <cols>
    <col min="1" max="1" width="7.42578125" customWidth="1"/>
    <col min="2" max="2" width="21.140625" customWidth="1"/>
    <col min="3" max="3" width="39.42578125" customWidth="1"/>
    <col min="4" max="4" width="14.85546875" style="22" customWidth="1"/>
    <col min="5" max="5" width="22.85546875" style="3" customWidth="1"/>
  </cols>
  <sheetData>
    <row r="1" spans="1:5" x14ac:dyDescent="0.25">
      <c r="A1" s="88" t="s">
        <v>52</v>
      </c>
      <c r="B1" s="89" t="s">
        <v>53</v>
      </c>
      <c r="C1" s="89" t="s">
        <v>55</v>
      </c>
      <c r="D1" s="97" t="s">
        <v>54</v>
      </c>
      <c r="E1" s="3" t="s">
        <v>108</v>
      </c>
    </row>
    <row r="2" spans="1:5" x14ac:dyDescent="0.25">
      <c r="A2" s="90">
        <v>1</v>
      </c>
      <c r="B2" s="91" t="s">
        <v>67</v>
      </c>
      <c r="C2" s="92" t="s">
        <v>68</v>
      </c>
      <c r="D2" s="98">
        <v>0</v>
      </c>
      <c r="E2" s="3" t="str">
        <f>IF(COUNTIF(C$3:C$5000,C2)&gt;1,"DUPLICADO","")</f>
        <v/>
      </c>
    </row>
    <row r="3" spans="1:5" x14ac:dyDescent="0.25">
      <c r="A3" s="93">
        <v>2</v>
      </c>
      <c r="B3" s="91" t="s">
        <v>67</v>
      </c>
      <c r="C3" s="92" t="s">
        <v>69</v>
      </c>
      <c r="D3" s="99">
        <v>0</v>
      </c>
      <c r="E3" s="3" t="str">
        <f t="shared" ref="E3:E66" si="0">IF(COUNTIF(C$3:C$5000,C3)&gt;1,"DUPLICADO","")</f>
        <v/>
      </c>
    </row>
    <row r="4" spans="1:5" x14ac:dyDescent="0.25">
      <c r="A4" s="90">
        <v>3</v>
      </c>
      <c r="B4" s="91" t="s">
        <v>87</v>
      </c>
      <c r="C4" s="92" t="s">
        <v>74</v>
      </c>
      <c r="D4" s="98">
        <v>0</v>
      </c>
      <c r="E4" s="3" t="str">
        <f t="shared" si="0"/>
        <v/>
      </c>
    </row>
    <row r="5" spans="1:5" x14ac:dyDescent="0.25">
      <c r="A5" s="93">
        <v>4</v>
      </c>
      <c r="B5" s="91" t="s">
        <v>88</v>
      </c>
      <c r="C5" s="92" t="s">
        <v>70</v>
      </c>
      <c r="D5" s="99">
        <v>20</v>
      </c>
      <c r="E5" s="3" t="str">
        <f t="shared" si="0"/>
        <v/>
      </c>
    </row>
    <row r="6" spans="1:5" x14ac:dyDescent="0.25">
      <c r="A6" s="90">
        <v>5</v>
      </c>
      <c r="B6" s="91" t="s">
        <v>67</v>
      </c>
      <c r="C6" s="92" t="s">
        <v>71</v>
      </c>
      <c r="D6" s="98">
        <v>0</v>
      </c>
      <c r="E6" s="3" t="str">
        <f t="shared" si="0"/>
        <v/>
      </c>
    </row>
    <row r="7" spans="1:5" x14ac:dyDescent="0.25">
      <c r="A7" s="93">
        <v>6</v>
      </c>
      <c r="B7" s="94" t="s">
        <v>88</v>
      </c>
      <c r="C7" s="92" t="s">
        <v>72</v>
      </c>
      <c r="D7" s="99">
        <v>20</v>
      </c>
      <c r="E7" s="3" t="str">
        <f t="shared" si="0"/>
        <v/>
      </c>
    </row>
    <row r="8" spans="1:5" x14ac:dyDescent="0.25">
      <c r="A8" s="90">
        <v>7</v>
      </c>
      <c r="B8" s="94" t="s">
        <v>67</v>
      </c>
      <c r="C8" s="92" t="s">
        <v>73</v>
      </c>
      <c r="D8" s="98">
        <v>0</v>
      </c>
      <c r="E8" s="3" t="str">
        <f t="shared" si="0"/>
        <v/>
      </c>
    </row>
    <row r="9" spans="1:5" x14ac:dyDescent="0.25">
      <c r="A9" s="93">
        <v>8</v>
      </c>
      <c r="B9" s="94" t="s">
        <v>75</v>
      </c>
      <c r="C9" s="92" t="s">
        <v>76</v>
      </c>
      <c r="D9" s="99">
        <v>0</v>
      </c>
      <c r="E9" s="3" t="str">
        <f t="shared" si="0"/>
        <v/>
      </c>
    </row>
    <row r="10" spans="1:5" x14ac:dyDescent="0.25">
      <c r="A10" s="90">
        <v>9</v>
      </c>
      <c r="B10" s="94" t="s">
        <v>75</v>
      </c>
      <c r="C10" s="92" t="s">
        <v>77</v>
      </c>
      <c r="D10" s="98">
        <v>0</v>
      </c>
      <c r="E10" s="3" t="str">
        <f t="shared" si="0"/>
        <v/>
      </c>
    </row>
    <row r="11" spans="1:5" x14ac:dyDescent="0.25">
      <c r="A11" s="93">
        <v>10</v>
      </c>
      <c r="B11" s="94" t="s">
        <v>75</v>
      </c>
      <c r="C11" s="92" t="s">
        <v>78</v>
      </c>
      <c r="D11" s="99">
        <v>0</v>
      </c>
      <c r="E11" s="3" t="str">
        <f t="shared" si="0"/>
        <v/>
      </c>
    </row>
    <row r="12" spans="1:5" x14ac:dyDescent="0.25">
      <c r="A12" s="90">
        <v>11</v>
      </c>
      <c r="B12" s="94" t="s">
        <v>79</v>
      </c>
      <c r="C12" s="92" t="s">
        <v>80</v>
      </c>
      <c r="D12" s="98">
        <v>0</v>
      </c>
      <c r="E12" s="3" t="str">
        <f t="shared" si="0"/>
        <v/>
      </c>
    </row>
    <row r="13" spans="1:5" x14ac:dyDescent="0.25">
      <c r="A13" s="93">
        <v>12</v>
      </c>
      <c r="B13" s="94" t="s">
        <v>67</v>
      </c>
      <c r="C13" s="92" t="s">
        <v>81</v>
      </c>
      <c r="D13" s="99">
        <v>0</v>
      </c>
      <c r="E13" s="3" t="str">
        <f t="shared" si="0"/>
        <v/>
      </c>
    </row>
    <row r="14" spans="1:5" x14ac:dyDescent="0.25">
      <c r="A14" s="90">
        <v>13</v>
      </c>
      <c r="B14" s="94" t="s">
        <v>67</v>
      </c>
      <c r="C14" s="92" t="s">
        <v>82</v>
      </c>
      <c r="D14" s="98">
        <v>0</v>
      </c>
      <c r="E14" s="3" t="str">
        <f t="shared" si="0"/>
        <v/>
      </c>
    </row>
    <row r="15" spans="1:5" x14ac:dyDescent="0.25">
      <c r="A15" s="93">
        <v>14</v>
      </c>
      <c r="B15" s="94" t="s">
        <v>67</v>
      </c>
      <c r="C15" s="92" t="s">
        <v>83</v>
      </c>
      <c r="D15" s="99">
        <v>0</v>
      </c>
      <c r="E15" s="3" t="str">
        <f t="shared" si="0"/>
        <v/>
      </c>
    </row>
    <row r="16" spans="1:5" x14ac:dyDescent="0.25">
      <c r="A16" s="90">
        <v>15</v>
      </c>
      <c r="B16" s="94" t="s">
        <v>67</v>
      </c>
      <c r="C16" s="92" t="s">
        <v>85</v>
      </c>
      <c r="D16" s="98">
        <v>0</v>
      </c>
      <c r="E16" s="3" t="str">
        <f t="shared" si="0"/>
        <v/>
      </c>
    </row>
    <row r="17" spans="1:5" x14ac:dyDescent="0.25">
      <c r="A17" s="93">
        <v>16</v>
      </c>
      <c r="B17" s="94" t="s">
        <v>67</v>
      </c>
      <c r="C17" s="92" t="s">
        <v>84</v>
      </c>
      <c r="D17" s="99">
        <v>0</v>
      </c>
      <c r="E17" s="3" t="str">
        <f t="shared" si="0"/>
        <v/>
      </c>
    </row>
    <row r="18" spans="1:5" x14ac:dyDescent="0.25">
      <c r="A18" s="90">
        <v>17</v>
      </c>
      <c r="B18" s="94" t="s">
        <v>88</v>
      </c>
      <c r="C18" s="92" t="s">
        <v>86</v>
      </c>
      <c r="D18" s="98">
        <v>20</v>
      </c>
      <c r="E18" s="3" t="str">
        <f t="shared" si="0"/>
        <v/>
      </c>
    </row>
    <row r="19" spans="1:5" x14ac:dyDescent="0.25">
      <c r="A19" s="93"/>
      <c r="B19" s="92" t="s">
        <v>116</v>
      </c>
      <c r="C19" s="92" t="s">
        <v>94</v>
      </c>
      <c r="D19" s="99">
        <v>25</v>
      </c>
      <c r="E19" s="3" t="str">
        <f t="shared" si="0"/>
        <v/>
      </c>
    </row>
    <row r="20" spans="1:5" x14ac:dyDescent="0.25">
      <c r="A20" s="90"/>
      <c r="B20" s="121" t="s">
        <v>104</v>
      </c>
      <c r="C20" s="121"/>
      <c r="D20" s="98"/>
      <c r="E20" s="3" t="str">
        <f t="shared" si="0"/>
        <v/>
      </c>
    </row>
    <row r="21" spans="1:5" x14ac:dyDescent="0.25">
      <c r="A21" s="93">
        <v>20</v>
      </c>
      <c r="B21" s="94" t="s">
        <v>117</v>
      </c>
      <c r="C21" s="121" t="s">
        <v>105</v>
      </c>
      <c r="D21" s="99">
        <v>20</v>
      </c>
      <c r="E21" s="3" t="str">
        <f t="shared" si="0"/>
        <v/>
      </c>
    </row>
    <row r="22" spans="1:5" x14ac:dyDescent="0.25">
      <c r="A22" s="90">
        <v>21</v>
      </c>
      <c r="B22" s="64" t="s">
        <v>133</v>
      </c>
      <c r="C22" s="121" t="s">
        <v>145</v>
      </c>
      <c r="D22" s="98">
        <v>0</v>
      </c>
      <c r="E22" s="3" t="str">
        <f t="shared" si="0"/>
        <v/>
      </c>
    </row>
    <row r="23" spans="1:5" x14ac:dyDescent="0.25">
      <c r="A23" s="93">
        <v>22</v>
      </c>
      <c r="B23" s="92" t="s">
        <v>88</v>
      </c>
      <c r="C23" s="92" t="s">
        <v>146</v>
      </c>
      <c r="D23" s="99">
        <v>20</v>
      </c>
      <c r="E23" s="3" t="str">
        <f t="shared" si="0"/>
        <v/>
      </c>
    </row>
    <row r="24" spans="1:5" x14ac:dyDescent="0.25">
      <c r="A24" s="90">
        <v>23</v>
      </c>
      <c r="B24" s="120"/>
      <c r="C24" s="120"/>
      <c r="D24" s="98"/>
      <c r="E24" s="3" t="str">
        <f t="shared" si="0"/>
        <v/>
      </c>
    </row>
    <row r="25" spans="1:5" x14ac:dyDescent="0.25">
      <c r="A25" s="93">
        <v>24</v>
      </c>
      <c r="B25" s="95"/>
      <c r="C25" s="95"/>
      <c r="D25" s="99"/>
      <c r="E25" s="3" t="str">
        <f t="shared" si="0"/>
        <v/>
      </c>
    </row>
    <row r="26" spans="1:5" x14ac:dyDescent="0.25">
      <c r="A26" s="90">
        <v>25</v>
      </c>
      <c r="B26" s="96"/>
      <c r="C26" s="96"/>
      <c r="D26" s="98"/>
      <c r="E26" s="3" t="str">
        <f t="shared" si="0"/>
        <v/>
      </c>
    </row>
    <row r="27" spans="1:5" x14ac:dyDescent="0.25">
      <c r="A27" s="93">
        <v>26</v>
      </c>
      <c r="B27" s="95"/>
      <c r="C27" s="95"/>
      <c r="D27" s="99"/>
      <c r="E27" s="3" t="str">
        <f t="shared" si="0"/>
        <v/>
      </c>
    </row>
    <row r="28" spans="1:5" x14ac:dyDescent="0.25">
      <c r="A28" s="90">
        <v>27</v>
      </c>
      <c r="B28" s="96"/>
      <c r="C28" s="96"/>
      <c r="D28" s="98"/>
      <c r="E28" s="3" t="str">
        <f t="shared" si="0"/>
        <v/>
      </c>
    </row>
    <row r="29" spans="1:5" x14ac:dyDescent="0.25">
      <c r="A29" s="93">
        <v>28</v>
      </c>
      <c r="B29" s="95"/>
      <c r="C29" s="95"/>
      <c r="D29" s="99"/>
      <c r="E29" s="3" t="str">
        <f t="shared" si="0"/>
        <v/>
      </c>
    </row>
    <row r="30" spans="1:5" x14ac:dyDescent="0.25">
      <c r="A30" s="90">
        <v>29</v>
      </c>
      <c r="B30" s="96"/>
      <c r="C30" s="96"/>
      <c r="D30" s="98"/>
      <c r="E30" s="3" t="str">
        <f t="shared" si="0"/>
        <v/>
      </c>
    </row>
    <row r="31" spans="1:5" x14ac:dyDescent="0.25">
      <c r="A31" s="93">
        <v>30</v>
      </c>
      <c r="B31" s="95"/>
      <c r="C31" s="95"/>
      <c r="D31" s="99"/>
      <c r="E31" s="3" t="str">
        <f t="shared" si="0"/>
        <v/>
      </c>
    </row>
    <row r="32" spans="1:5" x14ac:dyDescent="0.25">
      <c r="A32" s="90">
        <v>31</v>
      </c>
      <c r="B32" s="96"/>
      <c r="C32" s="96"/>
      <c r="D32" s="98"/>
      <c r="E32" s="3" t="str">
        <f t="shared" si="0"/>
        <v/>
      </c>
    </row>
    <row r="33" spans="1:5" x14ac:dyDescent="0.25">
      <c r="A33" s="93">
        <v>32</v>
      </c>
      <c r="B33" s="95"/>
      <c r="C33" s="95"/>
      <c r="D33" s="99"/>
      <c r="E33" s="3" t="str">
        <f t="shared" si="0"/>
        <v/>
      </c>
    </row>
    <row r="34" spans="1:5" x14ac:dyDescent="0.25">
      <c r="A34" s="90"/>
      <c r="B34" s="96"/>
      <c r="C34" s="96"/>
      <c r="D34" s="98"/>
      <c r="E34" s="3" t="str">
        <f t="shared" si="0"/>
        <v/>
      </c>
    </row>
    <row r="35" spans="1:5" x14ac:dyDescent="0.25">
      <c r="A35" s="93">
        <v>34</v>
      </c>
      <c r="B35" s="95"/>
      <c r="C35" s="95"/>
      <c r="D35" s="99"/>
      <c r="E35" s="3" t="str">
        <f t="shared" si="0"/>
        <v/>
      </c>
    </row>
    <row r="36" spans="1:5" x14ac:dyDescent="0.25">
      <c r="A36" s="90">
        <v>41</v>
      </c>
      <c r="B36" s="96"/>
      <c r="C36" s="96"/>
      <c r="D36" s="98"/>
      <c r="E36" s="3" t="str">
        <f t="shared" si="0"/>
        <v/>
      </c>
    </row>
    <row r="37" spans="1:5" x14ac:dyDescent="0.25">
      <c r="A37" s="93">
        <v>42</v>
      </c>
      <c r="B37" s="95"/>
      <c r="C37" s="95"/>
      <c r="D37" s="99"/>
      <c r="E37" s="3" t="str">
        <f t="shared" si="0"/>
        <v/>
      </c>
    </row>
    <row r="38" spans="1:5" x14ac:dyDescent="0.25">
      <c r="A38" s="90">
        <v>43</v>
      </c>
      <c r="B38" s="96"/>
      <c r="C38" s="96"/>
      <c r="D38" s="98"/>
      <c r="E38" s="3" t="str">
        <f t="shared" si="0"/>
        <v/>
      </c>
    </row>
    <row r="39" spans="1:5" x14ac:dyDescent="0.25">
      <c r="A39" s="93">
        <v>44</v>
      </c>
      <c r="B39" s="95"/>
      <c r="C39" s="95"/>
      <c r="D39" s="99"/>
      <c r="E39" s="3" t="str">
        <f t="shared" si="0"/>
        <v/>
      </c>
    </row>
    <row r="40" spans="1:5" x14ac:dyDescent="0.25">
      <c r="A40" s="90">
        <v>45</v>
      </c>
      <c r="B40" s="96"/>
      <c r="C40" s="96"/>
      <c r="D40" s="98"/>
      <c r="E40" s="3" t="str">
        <f t="shared" si="0"/>
        <v/>
      </c>
    </row>
    <row r="41" spans="1:5" x14ac:dyDescent="0.25">
      <c r="A41" s="93">
        <v>46</v>
      </c>
      <c r="B41" s="95"/>
      <c r="C41" s="95"/>
      <c r="D41" s="99"/>
      <c r="E41" s="3" t="str">
        <f t="shared" si="0"/>
        <v/>
      </c>
    </row>
    <row r="42" spans="1:5" x14ac:dyDescent="0.25">
      <c r="A42" s="90">
        <v>47</v>
      </c>
      <c r="B42" s="96"/>
      <c r="C42" s="96"/>
      <c r="D42" s="98"/>
      <c r="E42" s="3" t="str">
        <f t="shared" si="0"/>
        <v/>
      </c>
    </row>
    <row r="43" spans="1:5" x14ac:dyDescent="0.25">
      <c r="A43" s="93">
        <v>48</v>
      </c>
      <c r="B43" s="95"/>
      <c r="C43" s="95"/>
      <c r="D43" s="99"/>
      <c r="E43" s="3" t="str">
        <f t="shared" si="0"/>
        <v/>
      </c>
    </row>
    <row r="44" spans="1:5" x14ac:dyDescent="0.25">
      <c r="A44" s="90">
        <v>49</v>
      </c>
      <c r="B44" s="96"/>
      <c r="C44" s="96"/>
      <c r="D44" s="98"/>
      <c r="E44" s="3" t="str">
        <f t="shared" si="0"/>
        <v/>
      </c>
    </row>
    <row r="45" spans="1:5" x14ac:dyDescent="0.25">
      <c r="A45" s="93">
        <v>50</v>
      </c>
      <c r="B45" s="95"/>
      <c r="C45" s="95"/>
      <c r="D45" s="99"/>
      <c r="E45" s="3" t="str">
        <f t="shared" si="0"/>
        <v/>
      </c>
    </row>
    <row r="46" spans="1:5" x14ac:dyDescent="0.25">
      <c r="A46" s="90">
        <v>51</v>
      </c>
      <c r="B46" s="96"/>
      <c r="C46" s="96"/>
      <c r="D46" s="98"/>
      <c r="E46" s="3" t="str">
        <f t="shared" si="0"/>
        <v/>
      </c>
    </row>
    <row r="47" spans="1:5" x14ac:dyDescent="0.25">
      <c r="A47" s="93">
        <v>52</v>
      </c>
      <c r="B47" s="95"/>
      <c r="C47" s="95"/>
      <c r="D47" s="99"/>
      <c r="E47" s="3" t="str">
        <f t="shared" si="0"/>
        <v/>
      </c>
    </row>
    <row r="48" spans="1:5" x14ac:dyDescent="0.25">
      <c r="A48" s="90">
        <v>53</v>
      </c>
      <c r="B48" s="96"/>
      <c r="C48" s="96"/>
      <c r="D48" s="98"/>
      <c r="E48" s="3" t="str">
        <f t="shared" si="0"/>
        <v/>
      </c>
    </row>
    <row r="49" spans="1:5" x14ac:dyDescent="0.25">
      <c r="A49" s="93">
        <v>54</v>
      </c>
      <c r="B49" s="95"/>
      <c r="C49" s="95"/>
      <c r="D49" s="99"/>
      <c r="E49" s="3" t="str">
        <f t="shared" si="0"/>
        <v/>
      </c>
    </row>
    <row r="50" spans="1:5" x14ac:dyDescent="0.25">
      <c r="A50" s="90">
        <v>55</v>
      </c>
      <c r="B50" s="96"/>
      <c r="C50" s="96"/>
      <c r="D50" s="98"/>
      <c r="E50" s="3" t="str">
        <f t="shared" si="0"/>
        <v/>
      </c>
    </row>
    <row r="51" spans="1:5" x14ac:dyDescent="0.25">
      <c r="A51" s="93">
        <v>56</v>
      </c>
      <c r="B51" s="95"/>
      <c r="C51" s="95"/>
      <c r="D51" s="99"/>
      <c r="E51" s="3" t="str">
        <f t="shared" si="0"/>
        <v/>
      </c>
    </row>
    <row r="52" spans="1:5" x14ac:dyDescent="0.25">
      <c r="A52" s="90">
        <v>57</v>
      </c>
      <c r="B52" s="96"/>
      <c r="C52" s="96"/>
      <c r="D52" s="98"/>
      <c r="E52" s="3" t="str">
        <f t="shared" si="0"/>
        <v/>
      </c>
    </row>
    <row r="53" spans="1:5" x14ac:dyDescent="0.25">
      <c r="A53" s="93">
        <v>58</v>
      </c>
      <c r="B53" s="95"/>
      <c r="C53" s="95"/>
      <c r="D53" s="99"/>
      <c r="E53" s="3" t="str">
        <f t="shared" si="0"/>
        <v/>
      </c>
    </row>
    <row r="54" spans="1:5" x14ac:dyDescent="0.25">
      <c r="A54" s="90">
        <v>59</v>
      </c>
      <c r="B54" s="96"/>
      <c r="C54" s="96"/>
      <c r="D54" s="98"/>
      <c r="E54" s="3" t="str">
        <f t="shared" si="0"/>
        <v/>
      </c>
    </row>
    <row r="55" spans="1:5" x14ac:dyDescent="0.25">
      <c r="A55" s="93">
        <v>60</v>
      </c>
      <c r="B55" s="95"/>
      <c r="C55" s="95"/>
      <c r="D55" s="99"/>
      <c r="E55" s="3" t="str">
        <f t="shared" si="0"/>
        <v/>
      </c>
    </row>
    <row r="56" spans="1:5" x14ac:dyDescent="0.25">
      <c r="A56" s="90">
        <v>61</v>
      </c>
      <c r="B56" s="96"/>
      <c r="C56" s="96"/>
      <c r="D56" s="98"/>
      <c r="E56" s="3" t="str">
        <f t="shared" si="0"/>
        <v/>
      </c>
    </row>
    <row r="57" spans="1:5" x14ac:dyDescent="0.25">
      <c r="A57" s="93">
        <v>62</v>
      </c>
      <c r="B57" s="95"/>
      <c r="C57" s="95"/>
      <c r="D57" s="99"/>
      <c r="E57" s="3" t="str">
        <f t="shared" si="0"/>
        <v/>
      </c>
    </row>
    <row r="58" spans="1:5" x14ac:dyDescent="0.25">
      <c r="A58" s="90">
        <v>63</v>
      </c>
      <c r="B58" s="96"/>
      <c r="C58" s="96"/>
      <c r="D58" s="98"/>
      <c r="E58" s="3" t="str">
        <f t="shared" si="0"/>
        <v/>
      </c>
    </row>
    <row r="59" spans="1:5" x14ac:dyDescent="0.25">
      <c r="A59" s="93">
        <v>64</v>
      </c>
      <c r="B59" s="95"/>
      <c r="C59" s="95"/>
      <c r="D59" s="99"/>
      <c r="E59" s="3" t="str">
        <f t="shared" si="0"/>
        <v/>
      </c>
    </row>
    <row r="60" spans="1:5" x14ac:dyDescent="0.25">
      <c r="A60" s="90">
        <v>65</v>
      </c>
      <c r="B60" s="96"/>
      <c r="C60" s="96"/>
      <c r="D60" s="98"/>
      <c r="E60" s="3" t="str">
        <f t="shared" si="0"/>
        <v/>
      </c>
    </row>
    <row r="61" spans="1:5" x14ac:dyDescent="0.25">
      <c r="A61" s="93">
        <v>66</v>
      </c>
      <c r="B61" s="95"/>
      <c r="C61" s="95"/>
      <c r="D61" s="99"/>
      <c r="E61" s="3" t="str">
        <f t="shared" si="0"/>
        <v/>
      </c>
    </row>
    <row r="62" spans="1:5" x14ac:dyDescent="0.25">
      <c r="A62" s="90">
        <v>67</v>
      </c>
      <c r="B62" s="96"/>
      <c r="C62" s="96"/>
      <c r="D62" s="98"/>
      <c r="E62" s="3" t="str">
        <f t="shared" si="0"/>
        <v/>
      </c>
    </row>
    <row r="63" spans="1:5" x14ac:dyDescent="0.25">
      <c r="A63" s="93">
        <v>68</v>
      </c>
      <c r="B63" s="95"/>
      <c r="C63" s="95"/>
      <c r="D63" s="99"/>
      <c r="E63" s="3" t="str">
        <f t="shared" si="0"/>
        <v/>
      </c>
    </row>
    <row r="64" spans="1:5" x14ac:dyDescent="0.25">
      <c r="A64" s="90">
        <v>69</v>
      </c>
      <c r="B64" s="96"/>
      <c r="C64" s="96"/>
      <c r="D64" s="98"/>
      <c r="E64" s="3" t="str">
        <f t="shared" si="0"/>
        <v/>
      </c>
    </row>
    <row r="65" spans="1:5" x14ac:dyDescent="0.25">
      <c r="A65" s="93">
        <v>70</v>
      </c>
      <c r="B65" s="95"/>
      <c r="C65" s="95"/>
      <c r="D65" s="99"/>
      <c r="E65" s="3" t="str">
        <f t="shared" si="0"/>
        <v/>
      </c>
    </row>
    <row r="66" spans="1:5" x14ac:dyDescent="0.25">
      <c r="A66" s="90">
        <v>71</v>
      </c>
      <c r="B66" s="96"/>
      <c r="C66" s="96"/>
      <c r="D66" s="98"/>
      <c r="E66" s="3" t="str">
        <f t="shared" si="0"/>
        <v/>
      </c>
    </row>
    <row r="67" spans="1:5" x14ac:dyDescent="0.25">
      <c r="A67" s="93">
        <v>72</v>
      </c>
      <c r="B67" s="95"/>
      <c r="C67" s="95"/>
      <c r="D67" s="99"/>
      <c r="E67" s="3" t="str">
        <f t="shared" ref="E67:E130" si="1">IF(COUNTIF(C$3:C$5000,C67)&gt;1,"DUPLICADO","")</f>
        <v/>
      </c>
    </row>
    <row r="68" spans="1:5" x14ac:dyDescent="0.25">
      <c r="A68" s="90">
        <v>73</v>
      </c>
      <c r="B68" s="96"/>
      <c r="C68" s="96"/>
      <c r="D68" s="98"/>
      <c r="E68" s="3" t="str">
        <f t="shared" si="1"/>
        <v/>
      </c>
    </row>
    <row r="69" spans="1:5" x14ac:dyDescent="0.25">
      <c r="A69" s="93">
        <v>74</v>
      </c>
      <c r="B69" s="95"/>
      <c r="C69" s="95"/>
      <c r="D69" s="99"/>
      <c r="E69" s="3" t="str">
        <f t="shared" si="1"/>
        <v/>
      </c>
    </row>
    <row r="70" spans="1:5" x14ac:dyDescent="0.25">
      <c r="A70" s="90">
        <v>75</v>
      </c>
      <c r="B70" s="96"/>
      <c r="C70" s="96"/>
      <c r="D70" s="98"/>
      <c r="E70" s="3" t="str">
        <f t="shared" si="1"/>
        <v/>
      </c>
    </row>
    <row r="71" spans="1:5" x14ac:dyDescent="0.25">
      <c r="A71" s="93">
        <v>76</v>
      </c>
      <c r="B71" s="95"/>
      <c r="C71" s="95"/>
      <c r="D71" s="99"/>
      <c r="E71" s="3" t="str">
        <f t="shared" si="1"/>
        <v/>
      </c>
    </row>
    <row r="72" spans="1:5" x14ac:dyDescent="0.25">
      <c r="A72" s="90">
        <v>77</v>
      </c>
      <c r="B72" s="96"/>
      <c r="C72" s="96"/>
      <c r="D72" s="98"/>
      <c r="E72" s="3" t="str">
        <f t="shared" si="1"/>
        <v/>
      </c>
    </row>
    <row r="73" spans="1:5" x14ac:dyDescent="0.25">
      <c r="A73" s="93">
        <v>78</v>
      </c>
      <c r="B73" s="95"/>
      <c r="C73" s="95"/>
      <c r="D73" s="99"/>
      <c r="E73" s="3" t="str">
        <f t="shared" si="1"/>
        <v/>
      </c>
    </row>
    <row r="74" spans="1:5" x14ac:dyDescent="0.25">
      <c r="A74" s="90">
        <v>79</v>
      </c>
      <c r="B74" s="96"/>
      <c r="C74" s="96"/>
      <c r="D74" s="98"/>
      <c r="E74" s="3" t="str">
        <f t="shared" si="1"/>
        <v/>
      </c>
    </row>
    <row r="75" spans="1:5" x14ac:dyDescent="0.25">
      <c r="A75" s="93">
        <v>80</v>
      </c>
      <c r="B75" s="95"/>
      <c r="C75" s="95"/>
      <c r="D75" s="99"/>
      <c r="E75" s="3" t="str">
        <f t="shared" si="1"/>
        <v/>
      </c>
    </row>
    <row r="76" spans="1:5" x14ac:dyDescent="0.25">
      <c r="A76" s="90">
        <v>81</v>
      </c>
      <c r="B76" s="96"/>
      <c r="C76" s="96"/>
      <c r="D76" s="98"/>
      <c r="E76" s="3" t="str">
        <f t="shared" si="1"/>
        <v/>
      </c>
    </row>
    <row r="77" spans="1:5" x14ac:dyDescent="0.25">
      <c r="A77" s="93">
        <v>82</v>
      </c>
      <c r="B77" s="95"/>
      <c r="C77" s="95"/>
      <c r="D77" s="99"/>
      <c r="E77" s="3" t="str">
        <f t="shared" si="1"/>
        <v/>
      </c>
    </row>
    <row r="78" spans="1:5" x14ac:dyDescent="0.25">
      <c r="A78" s="90">
        <v>83</v>
      </c>
      <c r="B78" s="96"/>
      <c r="C78" s="96"/>
      <c r="D78" s="98"/>
      <c r="E78" s="3" t="str">
        <f t="shared" si="1"/>
        <v/>
      </c>
    </row>
    <row r="79" spans="1:5" x14ac:dyDescent="0.25">
      <c r="A79" s="93">
        <v>84</v>
      </c>
      <c r="B79" s="95"/>
      <c r="C79" s="95"/>
      <c r="D79" s="99"/>
      <c r="E79" s="3" t="str">
        <f t="shared" si="1"/>
        <v/>
      </c>
    </row>
    <row r="80" spans="1:5" x14ac:dyDescent="0.25">
      <c r="A80" s="90">
        <v>85</v>
      </c>
      <c r="B80" s="96"/>
      <c r="C80" s="96"/>
      <c r="D80" s="98"/>
      <c r="E80" s="3" t="str">
        <f t="shared" si="1"/>
        <v/>
      </c>
    </row>
    <row r="81" spans="1:5" x14ac:dyDescent="0.25">
      <c r="A81" s="93">
        <v>86</v>
      </c>
      <c r="B81" s="95"/>
      <c r="C81" s="95"/>
      <c r="D81" s="99"/>
      <c r="E81" s="3" t="str">
        <f t="shared" si="1"/>
        <v/>
      </c>
    </row>
    <row r="82" spans="1:5" x14ac:dyDescent="0.25">
      <c r="A82" s="90">
        <v>87</v>
      </c>
      <c r="B82" s="96"/>
      <c r="C82" s="96"/>
      <c r="D82" s="98"/>
      <c r="E82" s="3" t="str">
        <f t="shared" si="1"/>
        <v/>
      </c>
    </row>
    <row r="83" spans="1:5" x14ac:dyDescent="0.25">
      <c r="A83" s="93">
        <v>88</v>
      </c>
      <c r="B83" s="95"/>
      <c r="C83" s="95"/>
      <c r="D83" s="99"/>
      <c r="E83" s="3" t="str">
        <f t="shared" si="1"/>
        <v/>
      </c>
    </row>
    <row r="84" spans="1:5" x14ac:dyDescent="0.25">
      <c r="A84" s="90">
        <v>89</v>
      </c>
      <c r="B84" s="96"/>
      <c r="C84" s="96"/>
      <c r="D84" s="98"/>
      <c r="E84" s="3" t="str">
        <f t="shared" si="1"/>
        <v/>
      </c>
    </row>
    <row r="85" spans="1:5" x14ac:dyDescent="0.25">
      <c r="A85" s="93">
        <v>90</v>
      </c>
      <c r="B85" s="95"/>
      <c r="C85" s="95"/>
      <c r="D85" s="99"/>
      <c r="E85" s="3" t="str">
        <f t="shared" si="1"/>
        <v/>
      </c>
    </row>
    <row r="86" spans="1:5" x14ac:dyDescent="0.25">
      <c r="A86" s="90">
        <v>91</v>
      </c>
      <c r="B86" s="96"/>
      <c r="C86" s="96"/>
      <c r="D86" s="98"/>
      <c r="E86" s="3" t="str">
        <f t="shared" si="1"/>
        <v/>
      </c>
    </row>
    <row r="87" spans="1:5" x14ac:dyDescent="0.25">
      <c r="A87" s="93">
        <v>92</v>
      </c>
      <c r="B87" s="95"/>
      <c r="C87" s="95"/>
      <c r="D87" s="99"/>
      <c r="E87" s="3" t="str">
        <f t="shared" si="1"/>
        <v/>
      </c>
    </row>
    <row r="88" spans="1:5" x14ac:dyDescent="0.25">
      <c r="A88" s="90">
        <v>93</v>
      </c>
      <c r="B88" s="96"/>
      <c r="C88" s="96"/>
      <c r="D88" s="98"/>
      <c r="E88" s="3" t="str">
        <f t="shared" si="1"/>
        <v/>
      </c>
    </row>
    <row r="89" spans="1:5" x14ac:dyDescent="0.25">
      <c r="A89" s="93">
        <v>94</v>
      </c>
      <c r="B89" s="95"/>
      <c r="C89" s="95"/>
      <c r="D89" s="99"/>
      <c r="E89" s="3" t="str">
        <f t="shared" si="1"/>
        <v/>
      </c>
    </row>
    <row r="90" spans="1:5" x14ac:dyDescent="0.25">
      <c r="A90" s="90">
        <v>95</v>
      </c>
      <c r="B90" s="96"/>
      <c r="C90" s="96"/>
      <c r="D90" s="98"/>
      <c r="E90" s="3" t="str">
        <f t="shared" si="1"/>
        <v/>
      </c>
    </row>
    <row r="91" spans="1:5" x14ac:dyDescent="0.25">
      <c r="A91" s="93">
        <v>96</v>
      </c>
      <c r="B91" s="95"/>
      <c r="C91" s="95"/>
      <c r="D91" s="99"/>
      <c r="E91" s="3" t="str">
        <f t="shared" si="1"/>
        <v/>
      </c>
    </row>
    <row r="92" spans="1:5" x14ac:dyDescent="0.25">
      <c r="A92" s="90">
        <v>97</v>
      </c>
      <c r="B92" s="96"/>
      <c r="C92" s="96"/>
      <c r="D92" s="98"/>
      <c r="E92" s="3" t="str">
        <f t="shared" si="1"/>
        <v/>
      </c>
    </row>
    <row r="93" spans="1:5" x14ac:dyDescent="0.25">
      <c r="A93" s="93">
        <v>98</v>
      </c>
      <c r="B93" s="95"/>
      <c r="C93" s="95"/>
      <c r="D93" s="99"/>
      <c r="E93" s="3" t="str">
        <f t="shared" si="1"/>
        <v/>
      </c>
    </row>
    <row r="94" spans="1:5" x14ac:dyDescent="0.25">
      <c r="A94" s="90">
        <v>99</v>
      </c>
      <c r="B94" s="96"/>
      <c r="C94" s="96"/>
      <c r="D94" s="98"/>
      <c r="E94" s="3" t="str">
        <f t="shared" si="1"/>
        <v/>
      </c>
    </row>
    <row r="95" spans="1:5" x14ac:dyDescent="0.25">
      <c r="A95" s="93">
        <v>100</v>
      </c>
      <c r="B95" s="95"/>
      <c r="C95" s="95"/>
      <c r="D95" s="99"/>
      <c r="E95" s="3" t="str">
        <f t="shared" si="1"/>
        <v/>
      </c>
    </row>
    <row r="96" spans="1:5" x14ac:dyDescent="0.25">
      <c r="A96" s="90">
        <v>101</v>
      </c>
      <c r="B96" s="96"/>
      <c r="C96" s="96"/>
      <c r="D96" s="98"/>
      <c r="E96" s="3" t="str">
        <f t="shared" si="1"/>
        <v/>
      </c>
    </row>
    <row r="97" spans="1:5" x14ac:dyDescent="0.25">
      <c r="A97" s="93">
        <v>102</v>
      </c>
      <c r="B97" s="95"/>
      <c r="C97" s="95"/>
      <c r="D97" s="99"/>
      <c r="E97" s="3" t="str">
        <f t="shared" si="1"/>
        <v/>
      </c>
    </row>
    <row r="98" spans="1:5" x14ac:dyDescent="0.25">
      <c r="A98" s="90">
        <v>103</v>
      </c>
      <c r="B98" s="96"/>
      <c r="C98" s="96"/>
      <c r="D98" s="98"/>
      <c r="E98" s="3" t="str">
        <f t="shared" si="1"/>
        <v/>
      </c>
    </row>
    <row r="99" spans="1:5" x14ac:dyDescent="0.25">
      <c r="A99" s="93">
        <v>104</v>
      </c>
      <c r="B99" s="95"/>
      <c r="C99" s="95"/>
      <c r="D99" s="99"/>
      <c r="E99" s="3" t="str">
        <f t="shared" si="1"/>
        <v/>
      </c>
    </row>
    <row r="100" spans="1:5" x14ac:dyDescent="0.25">
      <c r="A100" s="90">
        <v>105</v>
      </c>
      <c r="B100" s="96"/>
      <c r="C100" s="96"/>
      <c r="D100" s="98"/>
      <c r="E100" s="3" t="str">
        <f t="shared" si="1"/>
        <v/>
      </c>
    </row>
    <row r="101" spans="1:5" x14ac:dyDescent="0.25">
      <c r="A101" s="93">
        <v>106</v>
      </c>
      <c r="B101" s="95"/>
      <c r="C101" s="95"/>
      <c r="D101" s="99"/>
      <c r="E101" s="3" t="str">
        <f t="shared" si="1"/>
        <v/>
      </c>
    </row>
    <row r="102" spans="1:5" x14ac:dyDescent="0.25">
      <c r="A102" s="90">
        <v>107</v>
      </c>
      <c r="B102" s="96"/>
      <c r="C102" s="96"/>
      <c r="D102" s="98"/>
      <c r="E102" s="3" t="str">
        <f t="shared" si="1"/>
        <v/>
      </c>
    </row>
    <row r="103" spans="1:5" x14ac:dyDescent="0.25">
      <c r="A103" s="93">
        <v>108</v>
      </c>
      <c r="B103" s="95"/>
      <c r="C103" s="95"/>
      <c r="D103" s="99"/>
      <c r="E103" s="3" t="str">
        <f t="shared" si="1"/>
        <v/>
      </c>
    </row>
    <row r="104" spans="1:5" x14ac:dyDescent="0.25">
      <c r="A104" s="90">
        <v>109</v>
      </c>
      <c r="B104" s="96"/>
      <c r="C104" s="96"/>
      <c r="D104" s="98"/>
      <c r="E104" s="3" t="str">
        <f t="shared" si="1"/>
        <v/>
      </c>
    </row>
    <row r="105" spans="1:5" x14ac:dyDescent="0.25">
      <c r="A105" s="93">
        <v>110</v>
      </c>
      <c r="B105" s="95"/>
      <c r="C105" s="95"/>
      <c r="D105" s="99"/>
      <c r="E105" s="3" t="str">
        <f t="shared" si="1"/>
        <v/>
      </c>
    </row>
    <row r="106" spans="1:5" x14ac:dyDescent="0.25">
      <c r="A106" s="90">
        <v>111</v>
      </c>
      <c r="B106" s="96"/>
      <c r="C106" s="96"/>
      <c r="D106" s="98"/>
      <c r="E106" s="3" t="str">
        <f t="shared" si="1"/>
        <v/>
      </c>
    </row>
    <row r="107" spans="1:5" x14ac:dyDescent="0.25">
      <c r="A107" s="93">
        <v>112</v>
      </c>
      <c r="B107" s="95"/>
      <c r="C107" s="95"/>
      <c r="D107" s="99"/>
      <c r="E107" s="3" t="str">
        <f t="shared" si="1"/>
        <v/>
      </c>
    </row>
    <row r="108" spans="1:5" x14ac:dyDescent="0.25">
      <c r="A108" s="90">
        <v>113</v>
      </c>
      <c r="B108" s="96"/>
      <c r="C108" s="96"/>
      <c r="D108" s="98"/>
      <c r="E108" s="3" t="str">
        <f t="shared" si="1"/>
        <v/>
      </c>
    </row>
    <row r="109" spans="1:5" x14ac:dyDescent="0.25">
      <c r="A109" s="93">
        <v>114</v>
      </c>
      <c r="B109" s="95"/>
      <c r="C109" s="95"/>
      <c r="D109" s="99"/>
      <c r="E109" s="3" t="str">
        <f t="shared" si="1"/>
        <v/>
      </c>
    </row>
    <row r="110" spans="1:5" x14ac:dyDescent="0.25">
      <c r="A110" s="90">
        <v>115</v>
      </c>
      <c r="B110" s="96"/>
      <c r="C110" s="96"/>
      <c r="D110" s="98"/>
      <c r="E110" s="3" t="str">
        <f t="shared" si="1"/>
        <v/>
      </c>
    </row>
    <row r="111" spans="1:5" x14ac:dyDescent="0.25">
      <c r="A111" s="93">
        <v>116</v>
      </c>
      <c r="B111" s="95"/>
      <c r="C111" s="95"/>
      <c r="D111" s="99"/>
      <c r="E111" s="3" t="str">
        <f t="shared" si="1"/>
        <v/>
      </c>
    </row>
    <row r="112" spans="1:5" x14ac:dyDescent="0.25">
      <c r="A112" s="90">
        <v>117</v>
      </c>
      <c r="B112" s="96"/>
      <c r="C112" s="96"/>
      <c r="D112" s="98"/>
      <c r="E112" s="3" t="str">
        <f t="shared" si="1"/>
        <v/>
      </c>
    </row>
    <row r="113" spans="1:5" x14ac:dyDescent="0.25">
      <c r="A113" s="93">
        <v>118</v>
      </c>
      <c r="B113" s="95"/>
      <c r="C113" s="95"/>
      <c r="D113" s="99"/>
      <c r="E113" s="3" t="str">
        <f t="shared" si="1"/>
        <v/>
      </c>
    </row>
    <row r="114" spans="1:5" x14ac:dyDescent="0.25">
      <c r="A114" s="90">
        <v>119</v>
      </c>
      <c r="B114" s="96"/>
      <c r="C114" s="96"/>
      <c r="D114" s="98"/>
      <c r="E114" s="3" t="str">
        <f t="shared" si="1"/>
        <v/>
      </c>
    </row>
    <row r="115" spans="1:5" x14ac:dyDescent="0.25">
      <c r="A115" s="93">
        <v>120</v>
      </c>
      <c r="B115" s="95"/>
      <c r="C115" s="95"/>
      <c r="D115" s="99"/>
      <c r="E115" s="3" t="str">
        <f t="shared" si="1"/>
        <v/>
      </c>
    </row>
    <row r="116" spans="1:5" x14ac:dyDescent="0.25">
      <c r="A116" s="90">
        <v>121</v>
      </c>
      <c r="B116" s="96"/>
      <c r="C116" s="96"/>
      <c r="D116" s="98"/>
      <c r="E116" s="3" t="str">
        <f t="shared" si="1"/>
        <v/>
      </c>
    </row>
    <row r="117" spans="1:5" x14ac:dyDescent="0.25">
      <c r="A117" s="93">
        <v>122</v>
      </c>
      <c r="B117" s="95"/>
      <c r="C117" s="95"/>
      <c r="D117" s="99"/>
      <c r="E117" s="3" t="str">
        <f t="shared" si="1"/>
        <v/>
      </c>
    </row>
    <row r="118" spans="1:5" x14ac:dyDescent="0.25">
      <c r="A118" s="90">
        <v>123</v>
      </c>
      <c r="B118" s="96"/>
      <c r="C118" s="96"/>
      <c r="D118" s="98"/>
      <c r="E118" s="3" t="str">
        <f t="shared" si="1"/>
        <v/>
      </c>
    </row>
    <row r="119" spans="1:5" x14ac:dyDescent="0.25">
      <c r="A119" s="93">
        <v>124</v>
      </c>
      <c r="B119" s="95"/>
      <c r="C119" s="95"/>
      <c r="D119" s="99"/>
      <c r="E119" s="3" t="str">
        <f t="shared" si="1"/>
        <v/>
      </c>
    </row>
    <row r="120" spans="1:5" x14ac:dyDescent="0.25">
      <c r="A120" s="90">
        <v>125</v>
      </c>
      <c r="B120" s="96"/>
      <c r="C120" s="96"/>
      <c r="D120" s="98"/>
      <c r="E120" s="3" t="str">
        <f t="shared" si="1"/>
        <v/>
      </c>
    </row>
    <row r="121" spans="1:5" x14ac:dyDescent="0.25">
      <c r="A121" s="93">
        <v>126</v>
      </c>
      <c r="B121" s="95"/>
      <c r="C121" s="95"/>
      <c r="D121" s="99"/>
      <c r="E121" s="3" t="str">
        <f t="shared" si="1"/>
        <v/>
      </c>
    </row>
    <row r="122" spans="1:5" x14ac:dyDescent="0.25">
      <c r="A122" s="90">
        <v>127</v>
      </c>
      <c r="B122" s="96"/>
      <c r="C122" s="96"/>
      <c r="D122" s="98"/>
      <c r="E122" s="3" t="str">
        <f t="shared" si="1"/>
        <v/>
      </c>
    </row>
    <row r="123" spans="1:5" x14ac:dyDescent="0.25">
      <c r="A123" s="93">
        <v>128</v>
      </c>
      <c r="B123" s="95"/>
      <c r="C123" s="95"/>
      <c r="D123" s="99"/>
      <c r="E123" s="3" t="str">
        <f t="shared" si="1"/>
        <v/>
      </c>
    </row>
    <row r="124" spans="1:5" x14ac:dyDescent="0.25">
      <c r="A124" s="90">
        <v>129</v>
      </c>
      <c r="B124" s="96"/>
      <c r="C124" s="96"/>
      <c r="D124" s="98"/>
      <c r="E124" s="3" t="str">
        <f t="shared" si="1"/>
        <v/>
      </c>
    </row>
    <row r="125" spans="1:5" x14ac:dyDescent="0.25">
      <c r="A125" s="93">
        <v>130</v>
      </c>
      <c r="B125" s="95"/>
      <c r="C125" s="95"/>
      <c r="D125" s="99"/>
      <c r="E125" s="3" t="str">
        <f t="shared" si="1"/>
        <v/>
      </c>
    </row>
    <row r="126" spans="1:5" x14ac:dyDescent="0.25">
      <c r="A126" s="90">
        <v>131</v>
      </c>
      <c r="B126" s="96"/>
      <c r="C126" s="96"/>
      <c r="D126" s="98"/>
      <c r="E126" s="3" t="str">
        <f t="shared" si="1"/>
        <v/>
      </c>
    </row>
    <row r="127" spans="1:5" x14ac:dyDescent="0.25">
      <c r="A127" s="93">
        <v>132</v>
      </c>
      <c r="B127" s="95"/>
      <c r="C127" s="95"/>
      <c r="D127" s="99"/>
      <c r="E127" s="3" t="str">
        <f t="shared" si="1"/>
        <v/>
      </c>
    </row>
    <row r="128" spans="1:5" x14ac:dyDescent="0.25">
      <c r="A128" s="90">
        <v>133</v>
      </c>
      <c r="B128" s="96"/>
      <c r="C128" s="96"/>
      <c r="D128" s="98"/>
      <c r="E128" s="3" t="str">
        <f t="shared" si="1"/>
        <v/>
      </c>
    </row>
    <row r="129" spans="1:5" x14ac:dyDescent="0.25">
      <c r="A129" s="93">
        <v>134</v>
      </c>
      <c r="B129" s="95"/>
      <c r="C129" s="95"/>
      <c r="D129" s="99"/>
      <c r="E129" s="3" t="str">
        <f t="shared" si="1"/>
        <v/>
      </c>
    </row>
    <row r="130" spans="1:5" x14ac:dyDescent="0.25">
      <c r="A130" s="90">
        <v>135</v>
      </c>
      <c r="B130" s="96"/>
      <c r="C130" s="96"/>
      <c r="D130" s="98"/>
      <c r="E130" s="3" t="str">
        <f t="shared" si="1"/>
        <v/>
      </c>
    </row>
    <row r="131" spans="1:5" x14ac:dyDescent="0.25">
      <c r="A131" s="93">
        <v>136</v>
      </c>
      <c r="B131" s="95"/>
      <c r="C131" s="95"/>
      <c r="D131" s="99"/>
      <c r="E131" s="3" t="str">
        <f t="shared" ref="E131:E194" si="2">IF(COUNTIF(C$3:C$5000,C131)&gt;1,"DUPLICADO","")</f>
        <v/>
      </c>
    </row>
    <row r="132" spans="1:5" x14ac:dyDescent="0.25">
      <c r="A132" s="90">
        <v>137</v>
      </c>
      <c r="B132" s="96"/>
      <c r="C132" s="96"/>
      <c r="D132" s="98"/>
      <c r="E132" s="3" t="str">
        <f t="shared" si="2"/>
        <v/>
      </c>
    </row>
    <row r="133" spans="1:5" x14ac:dyDescent="0.25">
      <c r="A133" s="93">
        <v>138</v>
      </c>
      <c r="B133" s="95"/>
      <c r="C133" s="95"/>
      <c r="D133" s="99"/>
      <c r="E133" s="3" t="str">
        <f t="shared" si="2"/>
        <v/>
      </c>
    </row>
    <row r="134" spans="1:5" x14ac:dyDescent="0.25">
      <c r="A134" s="90">
        <v>139</v>
      </c>
      <c r="B134" s="96"/>
      <c r="C134" s="96"/>
      <c r="D134" s="98"/>
      <c r="E134" s="3" t="str">
        <f t="shared" si="2"/>
        <v/>
      </c>
    </row>
    <row r="135" spans="1:5" x14ac:dyDescent="0.25">
      <c r="A135" s="93">
        <v>140</v>
      </c>
      <c r="B135" s="95"/>
      <c r="C135" s="95"/>
      <c r="D135" s="99"/>
      <c r="E135" s="3" t="str">
        <f t="shared" si="2"/>
        <v/>
      </c>
    </row>
    <row r="136" spans="1:5" x14ac:dyDescent="0.25">
      <c r="A136" s="90">
        <v>141</v>
      </c>
      <c r="B136" s="96"/>
      <c r="C136" s="96"/>
      <c r="D136" s="98"/>
      <c r="E136" s="3" t="str">
        <f t="shared" si="2"/>
        <v/>
      </c>
    </row>
    <row r="137" spans="1:5" x14ac:dyDescent="0.25">
      <c r="A137" s="93">
        <v>142</v>
      </c>
      <c r="B137" s="95"/>
      <c r="C137" s="95"/>
      <c r="D137" s="99"/>
      <c r="E137" s="3" t="str">
        <f t="shared" si="2"/>
        <v/>
      </c>
    </row>
    <row r="138" spans="1:5" x14ac:dyDescent="0.25">
      <c r="A138" s="90">
        <v>143</v>
      </c>
      <c r="B138" s="96"/>
      <c r="C138" s="96"/>
      <c r="D138" s="98"/>
      <c r="E138" s="3" t="str">
        <f t="shared" si="2"/>
        <v/>
      </c>
    </row>
    <row r="139" spans="1:5" x14ac:dyDescent="0.25">
      <c r="A139" s="93">
        <v>144</v>
      </c>
      <c r="B139" s="95"/>
      <c r="C139" s="95"/>
      <c r="D139" s="99"/>
      <c r="E139" s="3" t="str">
        <f t="shared" si="2"/>
        <v/>
      </c>
    </row>
    <row r="140" spans="1:5" x14ac:dyDescent="0.25">
      <c r="A140" s="90">
        <v>145</v>
      </c>
      <c r="B140" s="96"/>
      <c r="C140" s="96"/>
      <c r="D140" s="98"/>
      <c r="E140" s="3" t="str">
        <f t="shared" si="2"/>
        <v/>
      </c>
    </row>
    <row r="141" spans="1:5" x14ac:dyDescent="0.25">
      <c r="A141" s="93">
        <v>146</v>
      </c>
      <c r="B141" s="95"/>
      <c r="C141" s="95"/>
      <c r="D141" s="99"/>
      <c r="E141" s="3" t="str">
        <f t="shared" si="2"/>
        <v/>
      </c>
    </row>
    <row r="142" spans="1:5" x14ac:dyDescent="0.25">
      <c r="A142" s="90">
        <v>147</v>
      </c>
      <c r="B142" s="96"/>
      <c r="C142" s="96"/>
      <c r="D142" s="98"/>
      <c r="E142" s="3" t="str">
        <f t="shared" si="2"/>
        <v/>
      </c>
    </row>
    <row r="143" spans="1:5" x14ac:dyDescent="0.25">
      <c r="A143" s="93">
        <v>148</v>
      </c>
      <c r="B143" s="95"/>
      <c r="C143" s="95"/>
      <c r="D143" s="99"/>
      <c r="E143" s="3" t="str">
        <f t="shared" si="2"/>
        <v/>
      </c>
    </row>
    <row r="144" spans="1:5" x14ac:dyDescent="0.25">
      <c r="A144" s="90">
        <v>149</v>
      </c>
      <c r="B144" s="96"/>
      <c r="C144" s="96"/>
      <c r="D144" s="98"/>
      <c r="E144" s="3" t="str">
        <f t="shared" si="2"/>
        <v/>
      </c>
    </row>
    <row r="145" spans="1:5" x14ac:dyDescent="0.25">
      <c r="A145" s="93">
        <v>150</v>
      </c>
      <c r="B145" s="95"/>
      <c r="C145" s="95"/>
      <c r="D145" s="99"/>
      <c r="E145" s="3" t="str">
        <f t="shared" si="2"/>
        <v/>
      </c>
    </row>
    <row r="146" spans="1:5" x14ac:dyDescent="0.25">
      <c r="A146" s="90">
        <v>151</v>
      </c>
      <c r="B146" s="96"/>
      <c r="C146" s="96"/>
      <c r="D146" s="98"/>
      <c r="E146" s="3" t="str">
        <f t="shared" si="2"/>
        <v/>
      </c>
    </row>
    <row r="147" spans="1:5" x14ac:dyDescent="0.25">
      <c r="A147" s="93">
        <v>152</v>
      </c>
      <c r="B147" s="95"/>
      <c r="C147" s="95"/>
      <c r="D147" s="99"/>
      <c r="E147" s="3" t="str">
        <f t="shared" si="2"/>
        <v/>
      </c>
    </row>
    <row r="148" spans="1:5" x14ac:dyDescent="0.25">
      <c r="A148" s="90">
        <v>153</v>
      </c>
      <c r="B148" s="96"/>
      <c r="C148" s="96"/>
      <c r="D148" s="98"/>
      <c r="E148" s="3" t="str">
        <f t="shared" si="2"/>
        <v/>
      </c>
    </row>
    <row r="149" spans="1:5" x14ac:dyDescent="0.25">
      <c r="A149" s="93">
        <v>154</v>
      </c>
      <c r="B149" s="95"/>
      <c r="C149" s="95"/>
      <c r="D149" s="99"/>
      <c r="E149" s="3" t="str">
        <f t="shared" si="2"/>
        <v/>
      </c>
    </row>
    <row r="150" spans="1:5" x14ac:dyDescent="0.25">
      <c r="A150" s="90">
        <v>155</v>
      </c>
      <c r="B150" s="96"/>
      <c r="C150" s="96"/>
      <c r="D150" s="98"/>
      <c r="E150" s="3" t="str">
        <f t="shared" si="2"/>
        <v/>
      </c>
    </row>
    <row r="151" spans="1:5" x14ac:dyDescent="0.25">
      <c r="A151" s="93">
        <v>156</v>
      </c>
      <c r="B151" s="95"/>
      <c r="C151" s="95"/>
      <c r="D151" s="99"/>
      <c r="E151" s="3" t="str">
        <f t="shared" si="2"/>
        <v/>
      </c>
    </row>
    <row r="152" spans="1:5" x14ac:dyDescent="0.25">
      <c r="A152" s="90">
        <v>157</v>
      </c>
      <c r="B152" s="96"/>
      <c r="C152" s="96"/>
      <c r="D152" s="98"/>
      <c r="E152" s="3" t="str">
        <f t="shared" si="2"/>
        <v/>
      </c>
    </row>
    <row r="153" spans="1:5" x14ac:dyDescent="0.25">
      <c r="A153" s="93">
        <v>158</v>
      </c>
      <c r="B153" s="95"/>
      <c r="C153" s="95"/>
      <c r="D153" s="99"/>
      <c r="E153" s="3" t="str">
        <f t="shared" si="2"/>
        <v/>
      </c>
    </row>
    <row r="154" spans="1:5" x14ac:dyDescent="0.25">
      <c r="A154" s="90">
        <v>159</v>
      </c>
      <c r="B154" s="96"/>
      <c r="C154" s="96"/>
      <c r="D154" s="98"/>
      <c r="E154" s="3" t="str">
        <f t="shared" si="2"/>
        <v/>
      </c>
    </row>
    <row r="155" spans="1:5" x14ac:dyDescent="0.25">
      <c r="A155" s="93">
        <v>160</v>
      </c>
      <c r="B155" s="95"/>
      <c r="C155" s="95"/>
      <c r="D155" s="99"/>
      <c r="E155" s="3" t="str">
        <f t="shared" si="2"/>
        <v/>
      </c>
    </row>
    <row r="156" spans="1:5" x14ac:dyDescent="0.25">
      <c r="A156" s="90">
        <v>161</v>
      </c>
      <c r="B156" s="96"/>
      <c r="C156" s="96"/>
      <c r="D156" s="98"/>
      <c r="E156" s="3" t="str">
        <f t="shared" si="2"/>
        <v/>
      </c>
    </row>
    <row r="157" spans="1:5" x14ac:dyDescent="0.25">
      <c r="A157" s="93">
        <v>162</v>
      </c>
      <c r="B157" s="95"/>
      <c r="C157" s="95"/>
      <c r="D157" s="99"/>
      <c r="E157" s="3" t="str">
        <f t="shared" si="2"/>
        <v/>
      </c>
    </row>
    <row r="158" spans="1:5" x14ac:dyDescent="0.25">
      <c r="A158" s="90">
        <v>163</v>
      </c>
      <c r="B158" s="96"/>
      <c r="C158" s="96"/>
      <c r="D158" s="98"/>
      <c r="E158" s="3" t="str">
        <f t="shared" si="2"/>
        <v/>
      </c>
    </row>
    <row r="159" spans="1:5" x14ac:dyDescent="0.25">
      <c r="A159" s="93">
        <v>164</v>
      </c>
      <c r="B159" s="95"/>
      <c r="C159" s="95"/>
      <c r="D159" s="99"/>
      <c r="E159" s="3" t="str">
        <f t="shared" si="2"/>
        <v/>
      </c>
    </row>
    <row r="160" spans="1:5" x14ac:dyDescent="0.25">
      <c r="A160" s="90">
        <v>165</v>
      </c>
      <c r="B160" s="96"/>
      <c r="C160" s="96"/>
      <c r="D160" s="98"/>
      <c r="E160" s="3" t="str">
        <f t="shared" si="2"/>
        <v/>
      </c>
    </row>
    <row r="161" spans="1:5" x14ac:dyDescent="0.25">
      <c r="A161" s="93">
        <v>166</v>
      </c>
      <c r="B161" s="95"/>
      <c r="C161" s="95"/>
      <c r="D161" s="99"/>
      <c r="E161" s="3" t="str">
        <f t="shared" si="2"/>
        <v/>
      </c>
    </row>
    <row r="162" spans="1:5" x14ac:dyDescent="0.25">
      <c r="A162" s="90">
        <v>167</v>
      </c>
      <c r="B162" s="96"/>
      <c r="C162" s="96"/>
      <c r="D162" s="98"/>
      <c r="E162" s="3" t="str">
        <f t="shared" si="2"/>
        <v/>
      </c>
    </row>
    <row r="163" spans="1:5" x14ac:dyDescent="0.25">
      <c r="A163" s="93">
        <v>168</v>
      </c>
      <c r="B163" s="95"/>
      <c r="C163" s="95"/>
      <c r="D163" s="99"/>
      <c r="E163" s="3" t="str">
        <f t="shared" si="2"/>
        <v/>
      </c>
    </row>
    <row r="164" spans="1:5" x14ac:dyDescent="0.25">
      <c r="A164" s="90">
        <v>169</v>
      </c>
      <c r="B164" s="96"/>
      <c r="C164" s="96"/>
      <c r="D164" s="98"/>
      <c r="E164" s="3" t="str">
        <f t="shared" si="2"/>
        <v/>
      </c>
    </row>
    <row r="165" spans="1:5" x14ac:dyDescent="0.25">
      <c r="A165" s="93">
        <v>170</v>
      </c>
      <c r="B165" s="95"/>
      <c r="C165" s="95"/>
      <c r="D165" s="99"/>
      <c r="E165" s="3" t="str">
        <f t="shared" si="2"/>
        <v/>
      </c>
    </row>
    <row r="166" spans="1:5" x14ac:dyDescent="0.25">
      <c r="A166" s="90">
        <v>171</v>
      </c>
      <c r="B166" s="96"/>
      <c r="C166" s="96"/>
      <c r="D166" s="98"/>
      <c r="E166" s="3" t="str">
        <f t="shared" si="2"/>
        <v/>
      </c>
    </row>
    <row r="167" spans="1:5" x14ac:dyDescent="0.25">
      <c r="A167" s="93">
        <v>172</v>
      </c>
      <c r="B167" s="95"/>
      <c r="C167" s="95"/>
      <c r="D167" s="99"/>
      <c r="E167" s="3" t="str">
        <f t="shared" si="2"/>
        <v/>
      </c>
    </row>
    <row r="168" spans="1:5" x14ac:dyDescent="0.25">
      <c r="A168" s="90">
        <v>173</v>
      </c>
      <c r="B168" s="96"/>
      <c r="C168" s="96"/>
      <c r="D168" s="98"/>
      <c r="E168" s="3" t="str">
        <f t="shared" si="2"/>
        <v/>
      </c>
    </row>
    <row r="169" spans="1:5" x14ac:dyDescent="0.25">
      <c r="A169" s="93">
        <v>174</v>
      </c>
      <c r="B169" s="95"/>
      <c r="C169" s="95"/>
      <c r="D169" s="99"/>
      <c r="E169" s="3" t="str">
        <f t="shared" si="2"/>
        <v/>
      </c>
    </row>
    <row r="170" spans="1:5" x14ac:dyDescent="0.25">
      <c r="A170" s="90">
        <v>175</v>
      </c>
      <c r="B170" s="96"/>
      <c r="C170" s="96"/>
      <c r="D170" s="98"/>
      <c r="E170" s="3" t="str">
        <f t="shared" si="2"/>
        <v/>
      </c>
    </row>
    <row r="171" spans="1:5" x14ac:dyDescent="0.25">
      <c r="A171" s="93">
        <v>176</v>
      </c>
      <c r="B171" s="95"/>
      <c r="C171" s="95"/>
      <c r="D171" s="99"/>
      <c r="E171" s="3" t="str">
        <f t="shared" si="2"/>
        <v/>
      </c>
    </row>
    <row r="172" spans="1:5" x14ac:dyDescent="0.25">
      <c r="A172" s="90">
        <v>177</v>
      </c>
      <c r="B172" s="96"/>
      <c r="C172" s="96"/>
      <c r="D172" s="98"/>
      <c r="E172" s="3" t="str">
        <f t="shared" si="2"/>
        <v/>
      </c>
    </row>
    <row r="173" spans="1:5" x14ac:dyDescent="0.25">
      <c r="A173" s="93">
        <v>178</v>
      </c>
      <c r="B173" s="95"/>
      <c r="C173" s="95"/>
      <c r="D173" s="99"/>
      <c r="E173" s="3" t="str">
        <f t="shared" si="2"/>
        <v/>
      </c>
    </row>
    <row r="174" spans="1:5" x14ac:dyDescent="0.25">
      <c r="A174" s="90">
        <v>179</v>
      </c>
      <c r="B174" s="96"/>
      <c r="C174" s="96"/>
      <c r="D174" s="98"/>
      <c r="E174" s="3" t="str">
        <f t="shared" si="2"/>
        <v/>
      </c>
    </row>
    <row r="175" spans="1:5" x14ac:dyDescent="0.25">
      <c r="A175" s="93">
        <v>180</v>
      </c>
      <c r="B175" s="95"/>
      <c r="C175" s="95"/>
      <c r="D175" s="99"/>
      <c r="E175" s="3" t="str">
        <f t="shared" si="2"/>
        <v/>
      </c>
    </row>
    <row r="176" spans="1:5" x14ac:dyDescent="0.25">
      <c r="A176" s="90">
        <v>181</v>
      </c>
      <c r="B176" s="96"/>
      <c r="C176" s="96"/>
      <c r="D176" s="98"/>
      <c r="E176" s="3" t="str">
        <f t="shared" si="2"/>
        <v/>
      </c>
    </row>
    <row r="177" spans="1:5" x14ac:dyDescent="0.25">
      <c r="A177" s="93">
        <v>182</v>
      </c>
      <c r="B177" s="95"/>
      <c r="C177" s="95"/>
      <c r="D177" s="99"/>
      <c r="E177" s="3" t="str">
        <f t="shared" si="2"/>
        <v/>
      </c>
    </row>
    <row r="178" spans="1:5" x14ac:dyDescent="0.25">
      <c r="A178" s="90">
        <v>183</v>
      </c>
      <c r="B178" s="96"/>
      <c r="C178" s="96"/>
      <c r="D178" s="98"/>
      <c r="E178" s="3" t="str">
        <f t="shared" si="2"/>
        <v/>
      </c>
    </row>
    <row r="179" spans="1:5" x14ac:dyDescent="0.25">
      <c r="A179" s="93">
        <v>184</v>
      </c>
      <c r="B179" s="95"/>
      <c r="C179" s="95"/>
      <c r="D179" s="99"/>
      <c r="E179" s="3" t="str">
        <f t="shared" si="2"/>
        <v/>
      </c>
    </row>
    <row r="180" spans="1:5" x14ac:dyDescent="0.25">
      <c r="A180" s="90">
        <v>185</v>
      </c>
      <c r="B180" s="96"/>
      <c r="C180" s="96"/>
      <c r="D180" s="98"/>
      <c r="E180" s="3" t="str">
        <f t="shared" si="2"/>
        <v/>
      </c>
    </row>
    <row r="181" spans="1:5" x14ac:dyDescent="0.25">
      <c r="A181" s="93">
        <v>186</v>
      </c>
      <c r="B181" s="95"/>
      <c r="C181" s="95"/>
      <c r="D181" s="99"/>
      <c r="E181" s="3" t="str">
        <f t="shared" si="2"/>
        <v/>
      </c>
    </row>
    <row r="182" spans="1:5" x14ac:dyDescent="0.25">
      <c r="A182" s="90">
        <v>187</v>
      </c>
      <c r="B182" s="96"/>
      <c r="C182" s="96"/>
      <c r="D182" s="98"/>
      <c r="E182" s="3" t="str">
        <f t="shared" si="2"/>
        <v/>
      </c>
    </row>
    <row r="183" spans="1:5" x14ac:dyDescent="0.25">
      <c r="A183" s="93">
        <v>188</v>
      </c>
      <c r="B183" s="95"/>
      <c r="C183" s="95"/>
      <c r="D183" s="99"/>
      <c r="E183" s="3" t="str">
        <f t="shared" si="2"/>
        <v/>
      </c>
    </row>
    <row r="184" spans="1:5" x14ac:dyDescent="0.25">
      <c r="A184" s="90">
        <v>189</v>
      </c>
      <c r="B184" s="96"/>
      <c r="C184" s="96"/>
      <c r="D184" s="98"/>
      <c r="E184" s="3" t="str">
        <f t="shared" si="2"/>
        <v/>
      </c>
    </row>
    <row r="185" spans="1:5" x14ac:dyDescent="0.25">
      <c r="A185" s="93">
        <v>190</v>
      </c>
      <c r="B185" s="95"/>
      <c r="C185" s="95"/>
      <c r="D185" s="99"/>
      <c r="E185" s="3" t="str">
        <f t="shared" si="2"/>
        <v/>
      </c>
    </row>
    <row r="186" spans="1:5" x14ac:dyDescent="0.25">
      <c r="A186" s="90">
        <v>191</v>
      </c>
      <c r="B186" s="96"/>
      <c r="C186" s="96"/>
      <c r="D186" s="98"/>
      <c r="E186" s="3" t="str">
        <f t="shared" si="2"/>
        <v/>
      </c>
    </row>
    <row r="187" spans="1:5" x14ac:dyDescent="0.25">
      <c r="A187" s="93">
        <v>192</v>
      </c>
      <c r="B187" s="95"/>
      <c r="C187" s="95"/>
      <c r="D187" s="99"/>
      <c r="E187" s="3" t="str">
        <f t="shared" si="2"/>
        <v/>
      </c>
    </row>
    <row r="188" spans="1:5" x14ac:dyDescent="0.25">
      <c r="A188" s="90">
        <v>193</v>
      </c>
      <c r="B188" s="96"/>
      <c r="C188" s="96"/>
      <c r="D188" s="98"/>
      <c r="E188" s="3" t="str">
        <f t="shared" si="2"/>
        <v/>
      </c>
    </row>
    <row r="189" spans="1:5" x14ac:dyDescent="0.25">
      <c r="A189" s="93">
        <v>194</v>
      </c>
      <c r="B189" s="95"/>
      <c r="C189" s="95"/>
      <c r="D189" s="99"/>
      <c r="E189" s="3" t="str">
        <f t="shared" si="2"/>
        <v/>
      </c>
    </row>
    <row r="190" spans="1:5" x14ac:dyDescent="0.25">
      <c r="A190" s="90">
        <v>195</v>
      </c>
      <c r="B190" s="96"/>
      <c r="C190" s="96"/>
      <c r="D190" s="98"/>
      <c r="E190" s="3" t="str">
        <f t="shared" si="2"/>
        <v/>
      </c>
    </row>
    <row r="191" spans="1:5" x14ac:dyDescent="0.25">
      <c r="A191" s="93">
        <v>196</v>
      </c>
      <c r="B191" s="95"/>
      <c r="C191" s="95"/>
      <c r="D191" s="99"/>
      <c r="E191" s="3" t="str">
        <f t="shared" si="2"/>
        <v/>
      </c>
    </row>
    <row r="192" spans="1:5" x14ac:dyDescent="0.25">
      <c r="A192" s="90">
        <v>197</v>
      </c>
      <c r="B192" s="96"/>
      <c r="C192" s="96"/>
      <c r="D192" s="98"/>
      <c r="E192" s="3" t="str">
        <f t="shared" si="2"/>
        <v/>
      </c>
    </row>
    <row r="193" spans="1:5" x14ac:dyDescent="0.25">
      <c r="A193" s="93">
        <v>198</v>
      </c>
      <c r="B193" s="95"/>
      <c r="C193" s="95"/>
      <c r="D193" s="99"/>
      <c r="E193" s="3" t="str">
        <f t="shared" si="2"/>
        <v/>
      </c>
    </row>
    <row r="194" spans="1:5" x14ac:dyDescent="0.25">
      <c r="A194" s="90">
        <v>199</v>
      </c>
      <c r="B194" s="96"/>
      <c r="C194" s="96"/>
      <c r="D194" s="98"/>
      <c r="E194" s="3" t="str">
        <f t="shared" si="2"/>
        <v/>
      </c>
    </row>
    <row r="195" spans="1:5" x14ac:dyDescent="0.25">
      <c r="A195" s="93">
        <v>200</v>
      </c>
      <c r="B195" s="95"/>
      <c r="C195" s="95"/>
      <c r="D195" s="99"/>
      <c r="E195" s="3" t="str">
        <f t="shared" ref="E195:E258" si="3">IF(COUNTIF(C$3:C$5000,C195)&gt;1,"DUPLICADO","")</f>
        <v/>
      </c>
    </row>
    <row r="196" spans="1:5" x14ac:dyDescent="0.25">
      <c r="A196" s="90">
        <v>201</v>
      </c>
      <c r="B196" s="96"/>
      <c r="C196" s="96"/>
      <c r="D196" s="98"/>
      <c r="E196" s="3" t="str">
        <f t="shared" si="3"/>
        <v/>
      </c>
    </row>
    <row r="197" spans="1:5" x14ac:dyDescent="0.25">
      <c r="A197" s="93">
        <v>202</v>
      </c>
      <c r="B197" s="95"/>
      <c r="C197" s="95"/>
      <c r="D197" s="99"/>
      <c r="E197" s="3" t="str">
        <f t="shared" si="3"/>
        <v/>
      </c>
    </row>
    <row r="198" spans="1:5" x14ac:dyDescent="0.25">
      <c r="A198" s="90">
        <v>203</v>
      </c>
      <c r="B198" s="96"/>
      <c r="C198" s="96"/>
      <c r="D198" s="98"/>
      <c r="E198" s="3" t="str">
        <f t="shared" si="3"/>
        <v/>
      </c>
    </row>
    <row r="199" spans="1:5" x14ac:dyDescent="0.25">
      <c r="A199" s="93">
        <v>204</v>
      </c>
      <c r="B199" s="95"/>
      <c r="C199" s="95"/>
      <c r="D199" s="99"/>
      <c r="E199" s="3" t="str">
        <f t="shared" si="3"/>
        <v/>
      </c>
    </row>
    <row r="200" spans="1:5" x14ac:dyDescent="0.25">
      <c r="A200" s="90">
        <v>205</v>
      </c>
      <c r="B200" s="96"/>
      <c r="C200" s="96"/>
      <c r="D200" s="98"/>
      <c r="E200" s="3" t="str">
        <f t="shared" si="3"/>
        <v/>
      </c>
    </row>
    <row r="201" spans="1:5" x14ac:dyDescent="0.25">
      <c r="A201" s="93">
        <v>206</v>
      </c>
      <c r="B201" s="95"/>
      <c r="C201" s="95"/>
      <c r="D201" s="99"/>
      <c r="E201" s="3" t="str">
        <f t="shared" si="3"/>
        <v/>
      </c>
    </row>
    <row r="202" spans="1:5" x14ac:dyDescent="0.25">
      <c r="A202" s="90">
        <v>207</v>
      </c>
      <c r="B202" s="96"/>
      <c r="C202" s="96"/>
      <c r="D202" s="98"/>
      <c r="E202" s="3" t="str">
        <f t="shared" si="3"/>
        <v/>
      </c>
    </row>
    <row r="203" spans="1:5" x14ac:dyDescent="0.25">
      <c r="A203" s="93">
        <v>208</v>
      </c>
      <c r="B203" s="95"/>
      <c r="C203" s="95"/>
      <c r="D203" s="99"/>
      <c r="E203" s="3" t="str">
        <f t="shared" si="3"/>
        <v/>
      </c>
    </row>
    <row r="204" spans="1:5" x14ac:dyDescent="0.25">
      <c r="A204" s="90">
        <v>209</v>
      </c>
      <c r="B204" s="96"/>
      <c r="C204" s="96"/>
      <c r="D204" s="98"/>
      <c r="E204" s="3" t="str">
        <f t="shared" si="3"/>
        <v/>
      </c>
    </row>
    <row r="205" spans="1:5" x14ac:dyDescent="0.25">
      <c r="A205" s="93">
        <v>210</v>
      </c>
      <c r="B205" s="95"/>
      <c r="C205" s="95"/>
      <c r="D205" s="99"/>
      <c r="E205" s="3" t="str">
        <f t="shared" si="3"/>
        <v/>
      </c>
    </row>
    <row r="206" spans="1:5" x14ac:dyDescent="0.25">
      <c r="A206" s="90">
        <v>211</v>
      </c>
      <c r="B206" s="96"/>
      <c r="C206" s="96"/>
      <c r="D206" s="98"/>
      <c r="E206" s="3" t="str">
        <f t="shared" si="3"/>
        <v/>
      </c>
    </row>
    <row r="207" spans="1:5" x14ac:dyDescent="0.25">
      <c r="A207" s="93">
        <v>212</v>
      </c>
      <c r="B207" s="95"/>
      <c r="C207" s="95"/>
      <c r="D207" s="99"/>
      <c r="E207" s="3" t="str">
        <f t="shared" si="3"/>
        <v/>
      </c>
    </row>
    <row r="208" spans="1:5" x14ac:dyDescent="0.25">
      <c r="A208" s="90">
        <v>213</v>
      </c>
      <c r="B208" s="96"/>
      <c r="C208" s="96"/>
      <c r="D208" s="98"/>
      <c r="E208" s="3" t="str">
        <f t="shared" si="3"/>
        <v/>
      </c>
    </row>
    <row r="209" spans="1:5" x14ac:dyDescent="0.25">
      <c r="A209" s="93">
        <v>214</v>
      </c>
      <c r="B209" s="95"/>
      <c r="C209" s="95"/>
      <c r="D209" s="99"/>
      <c r="E209" s="3" t="str">
        <f t="shared" si="3"/>
        <v/>
      </c>
    </row>
    <row r="210" spans="1:5" x14ac:dyDescent="0.25">
      <c r="A210" s="90">
        <v>215</v>
      </c>
      <c r="B210" s="96"/>
      <c r="C210" s="96"/>
      <c r="D210" s="98"/>
      <c r="E210" s="3" t="str">
        <f t="shared" si="3"/>
        <v/>
      </c>
    </row>
    <row r="211" spans="1:5" x14ac:dyDescent="0.25">
      <c r="A211" s="93">
        <v>216</v>
      </c>
      <c r="B211" s="95"/>
      <c r="C211" s="95"/>
      <c r="D211" s="99"/>
      <c r="E211" s="3" t="str">
        <f t="shared" si="3"/>
        <v/>
      </c>
    </row>
    <row r="212" spans="1:5" x14ac:dyDescent="0.25">
      <c r="A212" s="90">
        <v>217</v>
      </c>
      <c r="B212" s="96"/>
      <c r="C212" s="96"/>
      <c r="D212" s="98"/>
      <c r="E212" s="3" t="str">
        <f t="shared" si="3"/>
        <v/>
      </c>
    </row>
    <row r="213" spans="1:5" x14ac:dyDescent="0.25">
      <c r="A213" s="93">
        <v>218</v>
      </c>
      <c r="B213" s="95"/>
      <c r="C213" s="95"/>
      <c r="D213" s="99"/>
      <c r="E213" s="3" t="str">
        <f t="shared" si="3"/>
        <v/>
      </c>
    </row>
    <row r="214" spans="1:5" x14ac:dyDescent="0.25">
      <c r="A214" s="90">
        <v>219</v>
      </c>
      <c r="B214" s="96"/>
      <c r="C214" s="96"/>
      <c r="D214" s="98"/>
      <c r="E214" s="3" t="str">
        <f t="shared" si="3"/>
        <v/>
      </c>
    </row>
    <row r="215" spans="1:5" x14ac:dyDescent="0.25">
      <c r="A215" s="93">
        <v>220</v>
      </c>
      <c r="B215" s="95"/>
      <c r="C215" s="95"/>
      <c r="D215" s="99"/>
      <c r="E215" s="3" t="str">
        <f t="shared" si="3"/>
        <v/>
      </c>
    </row>
    <row r="216" spans="1:5" x14ac:dyDescent="0.25">
      <c r="A216" s="90">
        <v>221</v>
      </c>
      <c r="B216" s="96"/>
      <c r="C216" s="96"/>
      <c r="D216" s="98"/>
      <c r="E216" s="3" t="str">
        <f t="shared" si="3"/>
        <v/>
      </c>
    </row>
    <row r="217" spans="1:5" x14ac:dyDescent="0.25">
      <c r="A217" s="93">
        <v>222</v>
      </c>
      <c r="B217" s="95"/>
      <c r="C217" s="95"/>
      <c r="D217" s="99"/>
      <c r="E217" s="3" t="str">
        <f t="shared" si="3"/>
        <v/>
      </c>
    </row>
    <row r="218" spans="1:5" x14ac:dyDescent="0.25">
      <c r="A218" s="90">
        <v>223</v>
      </c>
      <c r="B218" s="96"/>
      <c r="C218" s="96"/>
      <c r="D218" s="98"/>
      <c r="E218" s="3" t="str">
        <f t="shared" si="3"/>
        <v/>
      </c>
    </row>
    <row r="219" spans="1:5" x14ac:dyDescent="0.25">
      <c r="A219" s="93">
        <v>224</v>
      </c>
      <c r="B219" s="95"/>
      <c r="C219" s="95"/>
      <c r="D219" s="99"/>
      <c r="E219" s="3" t="str">
        <f t="shared" si="3"/>
        <v/>
      </c>
    </row>
    <row r="220" spans="1:5" x14ac:dyDescent="0.25">
      <c r="A220" s="90">
        <v>225</v>
      </c>
      <c r="B220" s="96"/>
      <c r="C220" s="96"/>
      <c r="D220" s="98"/>
      <c r="E220" s="3" t="str">
        <f t="shared" si="3"/>
        <v/>
      </c>
    </row>
    <row r="221" spans="1:5" x14ac:dyDescent="0.25">
      <c r="A221" s="93">
        <v>226</v>
      </c>
      <c r="B221" s="95"/>
      <c r="C221" s="95"/>
      <c r="D221" s="99"/>
      <c r="E221" s="3" t="str">
        <f t="shared" si="3"/>
        <v/>
      </c>
    </row>
    <row r="222" spans="1:5" x14ac:dyDescent="0.25">
      <c r="A222" s="90">
        <v>227</v>
      </c>
      <c r="B222" s="96"/>
      <c r="C222" s="96"/>
      <c r="D222" s="98"/>
      <c r="E222" s="3" t="str">
        <f t="shared" si="3"/>
        <v/>
      </c>
    </row>
    <row r="223" spans="1:5" x14ac:dyDescent="0.25">
      <c r="E223" s="3" t="str">
        <f t="shared" si="3"/>
        <v/>
      </c>
    </row>
    <row r="224" spans="1:5" x14ac:dyDescent="0.25">
      <c r="E224" s="3" t="str">
        <f t="shared" si="3"/>
        <v/>
      </c>
    </row>
    <row r="225" spans="5:5" x14ac:dyDescent="0.25">
      <c r="E225" s="3" t="str">
        <f t="shared" si="3"/>
        <v/>
      </c>
    </row>
    <row r="226" spans="5:5" x14ac:dyDescent="0.25">
      <c r="E226" s="3" t="str">
        <f t="shared" si="3"/>
        <v/>
      </c>
    </row>
    <row r="227" spans="5:5" x14ac:dyDescent="0.25">
      <c r="E227" s="3" t="str">
        <f t="shared" si="3"/>
        <v/>
      </c>
    </row>
    <row r="228" spans="5:5" x14ac:dyDescent="0.25">
      <c r="E228" s="3" t="str">
        <f t="shared" si="3"/>
        <v/>
      </c>
    </row>
    <row r="229" spans="5:5" x14ac:dyDescent="0.25">
      <c r="E229" s="3" t="str">
        <f t="shared" si="3"/>
        <v/>
      </c>
    </row>
    <row r="230" spans="5:5" x14ac:dyDescent="0.25">
      <c r="E230" s="3" t="str">
        <f t="shared" si="3"/>
        <v/>
      </c>
    </row>
    <row r="231" spans="5:5" x14ac:dyDescent="0.25">
      <c r="E231" s="3" t="str">
        <f t="shared" si="3"/>
        <v/>
      </c>
    </row>
    <row r="232" spans="5:5" x14ac:dyDescent="0.25">
      <c r="E232" s="3" t="str">
        <f t="shared" si="3"/>
        <v/>
      </c>
    </row>
    <row r="233" spans="5:5" x14ac:dyDescent="0.25">
      <c r="E233" s="3" t="str">
        <f t="shared" si="3"/>
        <v/>
      </c>
    </row>
    <row r="234" spans="5:5" x14ac:dyDescent="0.25">
      <c r="E234" s="3" t="str">
        <f t="shared" si="3"/>
        <v/>
      </c>
    </row>
    <row r="235" spans="5:5" x14ac:dyDescent="0.25">
      <c r="E235" s="3" t="str">
        <f t="shared" si="3"/>
        <v/>
      </c>
    </row>
    <row r="236" spans="5:5" x14ac:dyDescent="0.25">
      <c r="E236" s="3" t="str">
        <f t="shared" si="3"/>
        <v/>
      </c>
    </row>
    <row r="237" spans="5:5" x14ac:dyDescent="0.25">
      <c r="E237" s="3" t="str">
        <f t="shared" si="3"/>
        <v/>
      </c>
    </row>
    <row r="238" spans="5:5" x14ac:dyDescent="0.25">
      <c r="E238" s="3" t="str">
        <f t="shared" si="3"/>
        <v/>
      </c>
    </row>
    <row r="239" spans="5:5" x14ac:dyDescent="0.25">
      <c r="E239" s="3" t="str">
        <f t="shared" si="3"/>
        <v/>
      </c>
    </row>
    <row r="240" spans="5:5" x14ac:dyDescent="0.25">
      <c r="E240" s="3" t="str">
        <f t="shared" si="3"/>
        <v/>
      </c>
    </row>
    <row r="241" spans="5:5" x14ac:dyDescent="0.25">
      <c r="E241" s="3" t="str">
        <f t="shared" si="3"/>
        <v/>
      </c>
    </row>
    <row r="242" spans="5:5" x14ac:dyDescent="0.25">
      <c r="E242" s="3" t="str">
        <f t="shared" si="3"/>
        <v/>
      </c>
    </row>
    <row r="243" spans="5:5" x14ac:dyDescent="0.25">
      <c r="E243" s="3" t="str">
        <f t="shared" si="3"/>
        <v/>
      </c>
    </row>
    <row r="244" spans="5:5" x14ac:dyDescent="0.25">
      <c r="E244" s="3" t="str">
        <f t="shared" si="3"/>
        <v/>
      </c>
    </row>
    <row r="245" spans="5:5" x14ac:dyDescent="0.25">
      <c r="E245" s="3" t="str">
        <f t="shared" si="3"/>
        <v/>
      </c>
    </row>
    <row r="246" spans="5:5" x14ac:dyDescent="0.25">
      <c r="E246" s="3" t="str">
        <f t="shared" si="3"/>
        <v/>
      </c>
    </row>
    <row r="247" spans="5:5" x14ac:dyDescent="0.25">
      <c r="E247" s="3" t="str">
        <f t="shared" si="3"/>
        <v/>
      </c>
    </row>
    <row r="248" spans="5:5" x14ac:dyDescent="0.25">
      <c r="E248" s="3" t="str">
        <f t="shared" si="3"/>
        <v/>
      </c>
    </row>
    <row r="249" spans="5:5" x14ac:dyDescent="0.25">
      <c r="E249" s="3" t="str">
        <f t="shared" si="3"/>
        <v/>
      </c>
    </row>
    <row r="250" spans="5:5" x14ac:dyDescent="0.25">
      <c r="E250" s="3" t="str">
        <f t="shared" si="3"/>
        <v/>
      </c>
    </row>
    <row r="251" spans="5:5" x14ac:dyDescent="0.25">
      <c r="E251" s="3" t="str">
        <f t="shared" si="3"/>
        <v/>
      </c>
    </row>
    <row r="252" spans="5:5" x14ac:dyDescent="0.25">
      <c r="E252" s="3" t="str">
        <f t="shared" si="3"/>
        <v/>
      </c>
    </row>
    <row r="253" spans="5:5" x14ac:dyDescent="0.25">
      <c r="E253" s="3" t="str">
        <f t="shared" si="3"/>
        <v/>
      </c>
    </row>
    <row r="254" spans="5:5" x14ac:dyDescent="0.25">
      <c r="E254" s="3" t="str">
        <f t="shared" si="3"/>
        <v/>
      </c>
    </row>
    <row r="255" spans="5:5" x14ac:dyDescent="0.25">
      <c r="E255" s="3" t="str">
        <f t="shared" si="3"/>
        <v/>
      </c>
    </row>
    <row r="256" spans="5:5" x14ac:dyDescent="0.25">
      <c r="E256" s="3" t="str">
        <f t="shared" si="3"/>
        <v/>
      </c>
    </row>
    <row r="257" spans="5:5" x14ac:dyDescent="0.25">
      <c r="E257" s="3" t="str">
        <f t="shared" si="3"/>
        <v/>
      </c>
    </row>
    <row r="258" spans="5:5" x14ac:dyDescent="0.25">
      <c r="E258" s="3" t="str">
        <f t="shared" si="3"/>
        <v/>
      </c>
    </row>
    <row r="259" spans="5:5" x14ac:dyDescent="0.25">
      <c r="E259" s="3" t="str">
        <f t="shared" ref="E259:E322" si="4">IF(COUNTIF(C$3:C$5000,C259)&gt;1,"DUPLICADO","")</f>
        <v/>
      </c>
    </row>
    <row r="260" spans="5:5" x14ac:dyDescent="0.25">
      <c r="E260" s="3" t="str">
        <f t="shared" si="4"/>
        <v/>
      </c>
    </row>
    <row r="261" spans="5:5" x14ac:dyDescent="0.25">
      <c r="E261" s="3" t="str">
        <f t="shared" si="4"/>
        <v/>
      </c>
    </row>
    <row r="262" spans="5:5" x14ac:dyDescent="0.25">
      <c r="E262" s="3" t="str">
        <f t="shared" si="4"/>
        <v/>
      </c>
    </row>
    <row r="263" spans="5:5" x14ac:dyDescent="0.25">
      <c r="E263" s="3" t="str">
        <f t="shared" si="4"/>
        <v/>
      </c>
    </row>
    <row r="264" spans="5:5" x14ac:dyDescent="0.25">
      <c r="E264" s="3" t="str">
        <f t="shared" si="4"/>
        <v/>
      </c>
    </row>
    <row r="265" spans="5:5" x14ac:dyDescent="0.25">
      <c r="E265" s="3" t="str">
        <f t="shared" si="4"/>
        <v/>
      </c>
    </row>
    <row r="266" spans="5:5" x14ac:dyDescent="0.25">
      <c r="E266" s="3" t="str">
        <f t="shared" si="4"/>
        <v/>
      </c>
    </row>
    <row r="267" spans="5:5" x14ac:dyDescent="0.25">
      <c r="E267" s="3" t="str">
        <f t="shared" si="4"/>
        <v/>
      </c>
    </row>
    <row r="268" spans="5:5" x14ac:dyDescent="0.25">
      <c r="E268" s="3" t="str">
        <f t="shared" si="4"/>
        <v/>
      </c>
    </row>
    <row r="269" spans="5:5" x14ac:dyDescent="0.25">
      <c r="E269" s="3" t="str">
        <f t="shared" si="4"/>
        <v/>
      </c>
    </row>
    <row r="270" spans="5:5" x14ac:dyDescent="0.25">
      <c r="E270" s="3" t="str">
        <f t="shared" si="4"/>
        <v/>
      </c>
    </row>
    <row r="271" spans="5:5" x14ac:dyDescent="0.25">
      <c r="E271" s="3" t="str">
        <f t="shared" si="4"/>
        <v/>
      </c>
    </row>
    <row r="272" spans="5:5" x14ac:dyDescent="0.25">
      <c r="E272" s="3" t="str">
        <f t="shared" si="4"/>
        <v/>
      </c>
    </row>
    <row r="273" spans="5:5" x14ac:dyDescent="0.25">
      <c r="E273" s="3" t="str">
        <f t="shared" si="4"/>
        <v/>
      </c>
    </row>
    <row r="274" spans="5:5" x14ac:dyDescent="0.25">
      <c r="E274" s="3" t="str">
        <f t="shared" si="4"/>
        <v/>
      </c>
    </row>
    <row r="275" spans="5:5" x14ac:dyDescent="0.25">
      <c r="E275" s="3" t="str">
        <f t="shared" si="4"/>
        <v/>
      </c>
    </row>
    <row r="276" spans="5:5" x14ac:dyDescent="0.25">
      <c r="E276" s="3" t="str">
        <f t="shared" si="4"/>
        <v/>
      </c>
    </row>
    <row r="277" spans="5:5" x14ac:dyDescent="0.25">
      <c r="E277" s="3" t="str">
        <f t="shared" si="4"/>
        <v/>
      </c>
    </row>
    <row r="278" spans="5:5" x14ac:dyDescent="0.25">
      <c r="E278" s="3" t="str">
        <f t="shared" si="4"/>
        <v/>
      </c>
    </row>
    <row r="279" spans="5:5" x14ac:dyDescent="0.25">
      <c r="E279" s="3" t="str">
        <f t="shared" si="4"/>
        <v/>
      </c>
    </row>
    <row r="280" spans="5:5" x14ac:dyDescent="0.25">
      <c r="E280" s="3" t="str">
        <f t="shared" si="4"/>
        <v/>
      </c>
    </row>
    <row r="281" spans="5:5" x14ac:dyDescent="0.25">
      <c r="E281" s="3" t="str">
        <f t="shared" si="4"/>
        <v/>
      </c>
    </row>
    <row r="282" spans="5:5" x14ac:dyDescent="0.25">
      <c r="E282" s="3" t="str">
        <f t="shared" si="4"/>
        <v/>
      </c>
    </row>
    <row r="283" spans="5:5" x14ac:dyDescent="0.25">
      <c r="E283" s="3" t="str">
        <f t="shared" si="4"/>
        <v/>
      </c>
    </row>
    <row r="284" spans="5:5" x14ac:dyDescent="0.25">
      <c r="E284" s="3" t="str">
        <f t="shared" si="4"/>
        <v/>
      </c>
    </row>
    <row r="285" spans="5:5" x14ac:dyDescent="0.25">
      <c r="E285" s="3" t="str">
        <f t="shared" si="4"/>
        <v/>
      </c>
    </row>
    <row r="286" spans="5:5" x14ac:dyDescent="0.25">
      <c r="E286" s="3" t="str">
        <f t="shared" si="4"/>
        <v/>
      </c>
    </row>
    <row r="287" spans="5:5" x14ac:dyDescent="0.25">
      <c r="E287" s="3" t="str">
        <f t="shared" si="4"/>
        <v/>
      </c>
    </row>
    <row r="288" spans="5:5" x14ac:dyDescent="0.25">
      <c r="E288" s="3" t="str">
        <f t="shared" si="4"/>
        <v/>
      </c>
    </row>
    <row r="289" spans="5:5" x14ac:dyDescent="0.25">
      <c r="E289" s="3" t="str">
        <f t="shared" si="4"/>
        <v/>
      </c>
    </row>
    <row r="290" spans="5:5" x14ac:dyDescent="0.25">
      <c r="E290" s="3" t="str">
        <f t="shared" si="4"/>
        <v/>
      </c>
    </row>
    <row r="291" spans="5:5" x14ac:dyDescent="0.25">
      <c r="E291" s="3" t="str">
        <f t="shared" si="4"/>
        <v/>
      </c>
    </row>
    <row r="292" spans="5:5" x14ac:dyDescent="0.25">
      <c r="E292" s="3" t="str">
        <f t="shared" si="4"/>
        <v/>
      </c>
    </row>
    <row r="293" spans="5:5" x14ac:dyDescent="0.25">
      <c r="E293" s="3" t="str">
        <f t="shared" si="4"/>
        <v/>
      </c>
    </row>
    <row r="294" spans="5:5" x14ac:dyDescent="0.25">
      <c r="E294" s="3" t="str">
        <f t="shared" si="4"/>
        <v/>
      </c>
    </row>
    <row r="295" spans="5:5" x14ac:dyDescent="0.25">
      <c r="E295" s="3" t="str">
        <f t="shared" si="4"/>
        <v/>
      </c>
    </row>
    <row r="296" spans="5:5" x14ac:dyDescent="0.25">
      <c r="E296" s="3" t="str">
        <f t="shared" si="4"/>
        <v/>
      </c>
    </row>
    <row r="297" spans="5:5" x14ac:dyDescent="0.25">
      <c r="E297" s="3" t="str">
        <f t="shared" si="4"/>
        <v/>
      </c>
    </row>
    <row r="298" spans="5:5" x14ac:dyDescent="0.25">
      <c r="E298" s="3" t="str">
        <f t="shared" si="4"/>
        <v/>
      </c>
    </row>
    <row r="299" spans="5:5" x14ac:dyDescent="0.25">
      <c r="E299" s="3" t="str">
        <f t="shared" si="4"/>
        <v/>
      </c>
    </row>
    <row r="300" spans="5:5" x14ac:dyDescent="0.25">
      <c r="E300" s="3" t="str">
        <f t="shared" si="4"/>
        <v/>
      </c>
    </row>
    <row r="301" spans="5:5" x14ac:dyDescent="0.25">
      <c r="E301" s="3" t="str">
        <f t="shared" si="4"/>
        <v/>
      </c>
    </row>
    <row r="302" spans="5:5" x14ac:dyDescent="0.25">
      <c r="E302" s="3" t="str">
        <f t="shared" si="4"/>
        <v/>
      </c>
    </row>
    <row r="303" spans="5:5" x14ac:dyDescent="0.25">
      <c r="E303" s="3" t="str">
        <f t="shared" si="4"/>
        <v/>
      </c>
    </row>
    <row r="304" spans="5:5" x14ac:dyDescent="0.25">
      <c r="E304" s="3" t="str">
        <f t="shared" si="4"/>
        <v/>
      </c>
    </row>
    <row r="305" spans="5:5" x14ac:dyDescent="0.25">
      <c r="E305" s="3" t="str">
        <f t="shared" si="4"/>
        <v/>
      </c>
    </row>
    <row r="306" spans="5:5" x14ac:dyDescent="0.25">
      <c r="E306" s="3" t="str">
        <f t="shared" si="4"/>
        <v/>
      </c>
    </row>
    <row r="307" spans="5:5" x14ac:dyDescent="0.25">
      <c r="E307" s="3" t="str">
        <f t="shared" si="4"/>
        <v/>
      </c>
    </row>
    <row r="308" spans="5:5" x14ac:dyDescent="0.25">
      <c r="E308" s="3" t="str">
        <f t="shared" si="4"/>
        <v/>
      </c>
    </row>
    <row r="309" spans="5:5" x14ac:dyDescent="0.25">
      <c r="E309" s="3" t="str">
        <f t="shared" si="4"/>
        <v/>
      </c>
    </row>
    <row r="310" spans="5:5" x14ac:dyDescent="0.25">
      <c r="E310" s="3" t="str">
        <f t="shared" si="4"/>
        <v/>
      </c>
    </row>
    <row r="311" spans="5:5" x14ac:dyDescent="0.25">
      <c r="E311" s="3" t="str">
        <f t="shared" si="4"/>
        <v/>
      </c>
    </row>
    <row r="312" spans="5:5" x14ac:dyDescent="0.25">
      <c r="E312" s="3" t="str">
        <f t="shared" si="4"/>
        <v/>
      </c>
    </row>
    <row r="313" spans="5:5" x14ac:dyDescent="0.25">
      <c r="E313" s="3" t="str">
        <f t="shared" si="4"/>
        <v/>
      </c>
    </row>
    <row r="314" spans="5:5" x14ac:dyDescent="0.25">
      <c r="E314" s="3" t="str">
        <f t="shared" si="4"/>
        <v/>
      </c>
    </row>
    <row r="315" spans="5:5" x14ac:dyDescent="0.25">
      <c r="E315" s="3" t="str">
        <f t="shared" si="4"/>
        <v/>
      </c>
    </row>
    <row r="316" spans="5:5" x14ac:dyDescent="0.25">
      <c r="E316" s="3" t="str">
        <f t="shared" si="4"/>
        <v/>
      </c>
    </row>
    <row r="317" spans="5:5" x14ac:dyDescent="0.25">
      <c r="E317" s="3" t="str">
        <f t="shared" si="4"/>
        <v/>
      </c>
    </row>
    <row r="318" spans="5:5" x14ac:dyDescent="0.25">
      <c r="E318" s="3" t="str">
        <f t="shared" si="4"/>
        <v/>
      </c>
    </row>
    <row r="319" spans="5:5" x14ac:dyDescent="0.25">
      <c r="E319" s="3" t="str">
        <f t="shared" si="4"/>
        <v/>
      </c>
    </row>
    <row r="320" spans="5:5" x14ac:dyDescent="0.25">
      <c r="E320" s="3" t="str">
        <f t="shared" si="4"/>
        <v/>
      </c>
    </row>
    <row r="321" spans="5:5" x14ac:dyDescent="0.25">
      <c r="E321" s="3" t="str">
        <f t="shared" si="4"/>
        <v/>
      </c>
    </row>
    <row r="322" spans="5:5" x14ac:dyDescent="0.25">
      <c r="E322" s="3" t="str">
        <f t="shared" si="4"/>
        <v/>
      </c>
    </row>
    <row r="323" spans="5:5" x14ac:dyDescent="0.25">
      <c r="E323" s="3" t="str">
        <f t="shared" ref="E323:E386" si="5">IF(COUNTIF(C$3:C$5000,C323)&gt;1,"DUPLICADO","")</f>
        <v/>
      </c>
    </row>
    <row r="324" spans="5:5" x14ac:dyDescent="0.25">
      <c r="E324" s="3" t="str">
        <f t="shared" si="5"/>
        <v/>
      </c>
    </row>
    <row r="325" spans="5:5" x14ac:dyDescent="0.25">
      <c r="E325" s="3" t="str">
        <f t="shared" si="5"/>
        <v/>
      </c>
    </row>
    <row r="326" spans="5:5" x14ac:dyDescent="0.25">
      <c r="E326" s="3" t="str">
        <f t="shared" si="5"/>
        <v/>
      </c>
    </row>
    <row r="327" spans="5:5" x14ac:dyDescent="0.25">
      <c r="E327" s="3" t="str">
        <f t="shared" si="5"/>
        <v/>
      </c>
    </row>
    <row r="328" spans="5:5" x14ac:dyDescent="0.25">
      <c r="E328" s="3" t="str">
        <f t="shared" si="5"/>
        <v/>
      </c>
    </row>
    <row r="329" spans="5:5" x14ac:dyDescent="0.25">
      <c r="E329" s="3" t="str">
        <f t="shared" si="5"/>
        <v/>
      </c>
    </row>
    <row r="330" spans="5:5" x14ac:dyDescent="0.25">
      <c r="E330" s="3" t="str">
        <f t="shared" si="5"/>
        <v/>
      </c>
    </row>
    <row r="331" spans="5:5" x14ac:dyDescent="0.25">
      <c r="E331" s="3" t="str">
        <f t="shared" si="5"/>
        <v/>
      </c>
    </row>
    <row r="332" spans="5:5" x14ac:dyDescent="0.25">
      <c r="E332" s="3" t="str">
        <f t="shared" si="5"/>
        <v/>
      </c>
    </row>
    <row r="333" spans="5:5" x14ac:dyDescent="0.25">
      <c r="E333" s="3" t="str">
        <f t="shared" si="5"/>
        <v/>
      </c>
    </row>
    <row r="334" spans="5:5" x14ac:dyDescent="0.25">
      <c r="E334" s="3" t="str">
        <f t="shared" si="5"/>
        <v/>
      </c>
    </row>
    <row r="335" spans="5:5" x14ac:dyDescent="0.25">
      <c r="E335" s="3" t="str">
        <f t="shared" si="5"/>
        <v/>
      </c>
    </row>
    <row r="336" spans="5:5" x14ac:dyDescent="0.25">
      <c r="E336" s="3" t="str">
        <f t="shared" si="5"/>
        <v/>
      </c>
    </row>
    <row r="337" spans="5:5" x14ac:dyDescent="0.25">
      <c r="E337" s="3" t="str">
        <f t="shared" si="5"/>
        <v/>
      </c>
    </row>
    <row r="338" spans="5:5" x14ac:dyDescent="0.25">
      <c r="E338" s="3" t="str">
        <f t="shared" si="5"/>
        <v/>
      </c>
    </row>
    <row r="339" spans="5:5" x14ac:dyDescent="0.25">
      <c r="E339" s="3" t="str">
        <f t="shared" si="5"/>
        <v/>
      </c>
    </row>
    <row r="340" spans="5:5" x14ac:dyDescent="0.25">
      <c r="E340" s="3" t="str">
        <f t="shared" si="5"/>
        <v/>
      </c>
    </row>
    <row r="341" spans="5:5" x14ac:dyDescent="0.25">
      <c r="E341" s="3" t="str">
        <f t="shared" si="5"/>
        <v/>
      </c>
    </row>
    <row r="342" spans="5:5" x14ac:dyDescent="0.25">
      <c r="E342" s="3" t="str">
        <f t="shared" si="5"/>
        <v/>
      </c>
    </row>
    <row r="343" spans="5:5" x14ac:dyDescent="0.25">
      <c r="E343" s="3" t="str">
        <f t="shared" si="5"/>
        <v/>
      </c>
    </row>
    <row r="344" spans="5:5" x14ac:dyDescent="0.25">
      <c r="E344" s="3" t="str">
        <f t="shared" si="5"/>
        <v/>
      </c>
    </row>
    <row r="345" spans="5:5" x14ac:dyDescent="0.25">
      <c r="E345" s="3" t="str">
        <f t="shared" si="5"/>
        <v/>
      </c>
    </row>
    <row r="346" spans="5:5" x14ac:dyDescent="0.25">
      <c r="E346" s="3" t="str">
        <f t="shared" si="5"/>
        <v/>
      </c>
    </row>
    <row r="347" spans="5:5" x14ac:dyDescent="0.25">
      <c r="E347" s="3" t="str">
        <f t="shared" si="5"/>
        <v/>
      </c>
    </row>
    <row r="348" spans="5:5" x14ac:dyDescent="0.25">
      <c r="E348" s="3" t="str">
        <f t="shared" si="5"/>
        <v/>
      </c>
    </row>
    <row r="349" spans="5:5" x14ac:dyDescent="0.25">
      <c r="E349" s="3" t="str">
        <f t="shared" si="5"/>
        <v/>
      </c>
    </row>
    <row r="350" spans="5:5" x14ac:dyDescent="0.25">
      <c r="E350" s="3" t="str">
        <f t="shared" si="5"/>
        <v/>
      </c>
    </row>
    <row r="351" spans="5:5" x14ac:dyDescent="0.25">
      <c r="E351" s="3" t="str">
        <f t="shared" si="5"/>
        <v/>
      </c>
    </row>
    <row r="352" spans="5:5" x14ac:dyDescent="0.25">
      <c r="E352" s="3" t="str">
        <f t="shared" si="5"/>
        <v/>
      </c>
    </row>
    <row r="353" spans="5:5" x14ac:dyDescent="0.25">
      <c r="E353" s="3" t="str">
        <f t="shared" si="5"/>
        <v/>
      </c>
    </row>
    <row r="354" spans="5:5" x14ac:dyDescent="0.25">
      <c r="E354" s="3" t="str">
        <f t="shared" si="5"/>
        <v/>
      </c>
    </row>
    <row r="355" spans="5:5" x14ac:dyDescent="0.25">
      <c r="E355" s="3" t="str">
        <f t="shared" si="5"/>
        <v/>
      </c>
    </row>
    <row r="356" spans="5:5" x14ac:dyDescent="0.25">
      <c r="E356" s="3" t="str">
        <f t="shared" si="5"/>
        <v/>
      </c>
    </row>
    <row r="357" spans="5:5" x14ac:dyDescent="0.25">
      <c r="E357" s="3" t="str">
        <f t="shared" si="5"/>
        <v/>
      </c>
    </row>
    <row r="358" spans="5:5" x14ac:dyDescent="0.25">
      <c r="E358" s="3" t="str">
        <f t="shared" si="5"/>
        <v/>
      </c>
    </row>
    <row r="359" spans="5:5" x14ac:dyDescent="0.25">
      <c r="E359" s="3" t="str">
        <f t="shared" si="5"/>
        <v/>
      </c>
    </row>
    <row r="360" spans="5:5" x14ac:dyDescent="0.25">
      <c r="E360" s="3" t="str">
        <f t="shared" si="5"/>
        <v/>
      </c>
    </row>
    <row r="361" spans="5:5" x14ac:dyDescent="0.25">
      <c r="E361" s="3" t="str">
        <f t="shared" si="5"/>
        <v/>
      </c>
    </row>
    <row r="362" spans="5:5" x14ac:dyDescent="0.25">
      <c r="E362" s="3" t="str">
        <f t="shared" si="5"/>
        <v/>
      </c>
    </row>
    <row r="363" spans="5:5" x14ac:dyDescent="0.25">
      <c r="E363" s="3" t="str">
        <f t="shared" si="5"/>
        <v/>
      </c>
    </row>
    <row r="364" spans="5:5" x14ac:dyDescent="0.25">
      <c r="E364" s="3" t="str">
        <f t="shared" si="5"/>
        <v/>
      </c>
    </row>
    <row r="365" spans="5:5" x14ac:dyDescent="0.25">
      <c r="E365" s="3" t="str">
        <f t="shared" si="5"/>
        <v/>
      </c>
    </row>
    <row r="366" spans="5:5" x14ac:dyDescent="0.25">
      <c r="E366" s="3" t="str">
        <f t="shared" si="5"/>
        <v/>
      </c>
    </row>
    <row r="367" spans="5:5" x14ac:dyDescent="0.25">
      <c r="E367" s="3" t="str">
        <f t="shared" si="5"/>
        <v/>
      </c>
    </row>
    <row r="368" spans="5:5" x14ac:dyDescent="0.25">
      <c r="E368" s="3" t="str">
        <f t="shared" si="5"/>
        <v/>
      </c>
    </row>
    <row r="369" spans="5:5" x14ac:dyDescent="0.25">
      <c r="E369" s="3" t="str">
        <f t="shared" si="5"/>
        <v/>
      </c>
    </row>
    <row r="370" spans="5:5" x14ac:dyDescent="0.25">
      <c r="E370" s="3" t="str">
        <f t="shared" si="5"/>
        <v/>
      </c>
    </row>
    <row r="371" spans="5:5" x14ac:dyDescent="0.25">
      <c r="E371" s="3" t="str">
        <f t="shared" si="5"/>
        <v/>
      </c>
    </row>
    <row r="372" spans="5:5" x14ac:dyDescent="0.25">
      <c r="E372" s="3" t="str">
        <f t="shared" si="5"/>
        <v/>
      </c>
    </row>
    <row r="373" spans="5:5" x14ac:dyDescent="0.25">
      <c r="E373" s="3" t="str">
        <f t="shared" si="5"/>
        <v/>
      </c>
    </row>
    <row r="374" spans="5:5" x14ac:dyDescent="0.25">
      <c r="E374" s="3" t="str">
        <f t="shared" si="5"/>
        <v/>
      </c>
    </row>
    <row r="375" spans="5:5" x14ac:dyDescent="0.25">
      <c r="E375" s="3" t="str">
        <f t="shared" si="5"/>
        <v/>
      </c>
    </row>
    <row r="376" spans="5:5" x14ac:dyDescent="0.25">
      <c r="E376" s="3" t="str">
        <f t="shared" si="5"/>
        <v/>
      </c>
    </row>
    <row r="377" spans="5:5" x14ac:dyDescent="0.25">
      <c r="E377" s="3" t="str">
        <f t="shared" si="5"/>
        <v/>
      </c>
    </row>
    <row r="378" spans="5:5" x14ac:dyDescent="0.25">
      <c r="E378" s="3" t="str">
        <f t="shared" si="5"/>
        <v/>
      </c>
    </row>
    <row r="379" spans="5:5" x14ac:dyDescent="0.25">
      <c r="E379" s="3" t="str">
        <f t="shared" si="5"/>
        <v/>
      </c>
    </row>
    <row r="380" spans="5:5" x14ac:dyDescent="0.25">
      <c r="E380" s="3" t="str">
        <f t="shared" si="5"/>
        <v/>
      </c>
    </row>
    <row r="381" spans="5:5" x14ac:dyDescent="0.25">
      <c r="E381" s="3" t="str">
        <f t="shared" si="5"/>
        <v/>
      </c>
    </row>
    <row r="382" spans="5:5" x14ac:dyDescent="0.25">
      <c r="E382" s="3" t="str">
        <f t="shared" si="5"/>
        <v/>
      </c>
    </row>
    <row r="383" spans="5:5" x14ac:dyDescent="0.25">
      <c r="E383" s="3" t="str">
        <f t="shared" si="5"/>
        <v/>
      </c>
    </row>
    <row r="384" spans="5:5" x14ac:dyDescent="0.25">
      <c r="E384" s="3" t="str">
        <f t="shared" si="5"/>
        <v/>
      </c>
    </row>
    <row r="385" spans="5:5" x14ac:dyDescent="0.25">
      <c r="E385" s="3" t="str">
        <f t="shared" si="5"/>
        <v/>
      </c>
    </row>
    <row r="386" spans="5:5" x14ac:dyDescent="0.25">
      <c r="E386" s="3" t="str">
        <f t="shared" si="5"/>
        <v/>
      </c>
    </row>
    <row r="387" spans="5:5" x14ac:dyDescent="0.25">
      <c r="E387" s="3" t="str">
        <f t="shared" ref="E387:E450" si="6">IF(COUNTIF(C$3:C$5000,C387)&gt;1,"DUPLICADO","")</f>
        <v/>
      </c>
    </row>
    <row r="388" spans="5:5" x14ac:dyDescent="0.25">
      <c r="E388" s="3" t="str">
        <f t="shared" si="6"/>
        <v/>
      </c>
    </row>
    <row r="389" spans="5:5" x14ac:dyDescent="0.25">
      <c r="E389" s="3" t="str">
        <f t="shared" si="6"/>
        <v/>
      </c>
    </row>
    <row r="390" spans="5:5" x14ac:dyDescent="0.25">
      <c r="E390" s="3" t="str">
        <f t="shared" si="6"/>
        <v/>
      </c>
    </row>
    <row r="391" spans="5:5" x14ac:dyDescent="0.25">
      <c r="E391" s="3" t="str">
        <f t="shared" si="6"/>
        <v/>
      </c>
    </row>
    <row r="392" spans="5:5" x14ac:dyDescent="0.25">
      <c r="E392" s="3" t="str">
        <f t="shared" si="6"/>
        <v/>
      </c>
    </row>
    <row r="393" spans="5:5" x14ac:dyDescent="0.25">
      <c r="E393" s="3" t="str">
        <f t="shared" si="6"/>
        <v/>
      </c>
    </row>
    <row r="394" spans="5:5" x14ac:dyDescent="0.25">
      <c r="E394" s="3" t="str">
        <f t="shared" si="6"/>
        <v/>
      </c>
    </row>
    <row r="395" spans="5:5" x14ac:dyDescent="0.25">
      <c r="E395" s="3" t="str">
        <f t="shared" si="6"/>
        <v/>
      </c>
    </row>
    <row r="396" spans="5:5" x14ac:dyDescent="0.25">
      <c r="E396" s="3" t="str">
        <f t="shared" si="6"/>
        <v/>
      </c>
    </row>
    <row r="397" spans="5:5" x14ac:dyDescent="0.25">
      <c r="E397" s="3" t="str">
        <f t="shared" si="6"/>
        <v/>
      </c>
    </row>
    <row r="398" spans="5:5" x14ac:dyDescent="0.25">
      <c r="E398" s="3" t="str">
        <f t="shared" si="6"/>
        <v/>
      </c>
    </row>
    <row r="399" spans="5:5" x14ac:dyDescent="0.25">
      <c r="E399" s="3" t="str">
        <f t="shared" si="6"/>
        <v/>
      </c>
    </row>
    <row r="400" spans="5:5" x14ac:dyDescent="0.25">
      <c r="E400" s="3" t="str">
        <f t="shared" si="6"/>
        <v/>
      </c>
    </row>
    <row r="401" spans="5:5" x14ac:dyDescent="0.25">
      <c r="E401" s="3" t="str">
        <f t="shared" si="6"/>
        <v/>
      </c>
    </row>
    <row r="402" spans="5:5" x14ac:dyDescent="0.25">
      <c r="E402" s="3" t="str">
        <f t="shared" si="6"/>
        <v/>
      </c>
    </row>
    <row r="403" spans="5:5" x14ac:dyDescent="0.25">
      <c r="E403" s="3" t="str">
        <f t="shared" si="6"/>
        <v/>
      </c>
    </row>
    <row r="404" spans="5:5" x14ac:dyDescent="0.25">
      <c r="E404" s="3" t="str">
        <f t="shared" si="6"/>
        <v/>
      </c>
    </row>
    <row r="405" spans="5:5" x14ac:dyDescent="0.25">
      <c r="E405" s="3" t="str">
        <f t="shared" si="6"/>
        <v/>
      </c>
    </row>
    <row r="406" spans="5:5" x14ac:dyDescent="0.25">
      <c r="E406" s="3" t="str">
        <f t="shared" si="6"/>
        <v/>
      </c>
    </row>
    <row r="407" spans="5:5" x14ac:dyDescent="0.25">
      <c r="E407" s="3" t="str">
        <f t="shared" si="6"/>
        <v/>
      </c>
    </row>
    <row r="408" spans="5:5" x14ac:dyDescent="0.25">
      <c r="E408" s="3" t="str">
        <f t="shared" si="6"/>
        <v/>
      </c>
    </row>
    <row r="409" spans="5:5" x14ac:dyDescent="0.25">
      <c r="E409" s="3" t="str">
        <f t="shared" si="6"/>
        <v/>
      </c>
    </row>
    <row r="410" spans="5:5" x14ac:dyDescent="0.25">
      <c r="E410" s="3" t="str">
        <f t="shared" si="6"/>
        <v/>
      </c>
    </row>
    <row r="411" spans="5:5" x14ac:dyDescent="0.25">
      <c r="E411" s="3" t="str">
        <f t="shared" si="6"/>
        <v/>
      </c>
    </row>
    <row r="412" spans="5:5" x14ac:dyDescent="0.25">
      <c r="E412" s="3" t="str">
        <f t="shared" si="6"/>
        <v/>
      </c>
    </row>
    <row r="413" spans="5:5" x14ac:dyDescent="0.25">
      <c r="E413" s="3" t="str">
        <f t="shared" si="6"/>
        <v/>
      </c>
    </row>
    <row r="414" spans="5:5" x14ac:dyDescent="0.25">
      <c r="E414" s="3" t="str">
        <f t="shared" si="6"/>
        <v/>
      </c>
    </row>
    <row r="415" spans="5:5" x14ac:dyDescent="0.25">
      <c r="E415" s="3" t="str">
        <f t="shared" si="6"/>
        <v/>
      </c>
    </row>
    <row r="416" spans="5:5" x14ac:dyDescent="0.25">
      <c r="E416" s="3" t="str">
        <f t="shared" si="6"/>
        <v/>
      </c>
    </row>
    <row r="417" spans="5:5" x14ac:dyDescent="0.25">
      <c r="E417" s="3" t="str">
        <f t="shared" si="6"/>
        <v/>
      </c>
    </row>
    <row r="418" spans="5:5" x14ac:dyDescent="0.25">
      <c r="E418" s="3" t="str">
        <f t="shared" si="6"/>
        <v/>
      </c>
    </row>
    <row r="419" spans="5:5" x14ac:dyDescent="0.25">
      <c r="E419" s="3" t="str">
        <f t="shared" si="6"/>
        <v/>
      </c>
    </row>
    <row r="420" spans="5:5" x14ac:dyDescent="0.25">
      <c r="E420" s="3" t="str">
        <f t="shared" si="6"/>
        <v/>
      </c>
    </row>
    <row r="421" spans="5:5" x14ac:dyDescent="0.25">
      <c r="E421" s="3" t="str">
        <f t="shared" si="6"/>
        <v/>
      </c>
    </row>
    <row r="422" spans="5:5" x14ac:dyDescent="0.25">
      <c r="E422" s="3" t="str">
        <f t="shared" si="6"/>
        <v/>
      </c>
    </row>
    <row r="423" spans="5:5" x14ac:dyDescent="0.25">
      <c r="E423" s="3" t="str">
        <f t="shared" si="6"/>
        <v/>
      </c>
    </row>
    <row r="424" spans="5:5" x14ac:dyDescent="0.25">
      <c r="E424" s="3" t="str">
        <f t="shared" si="6"/>
        <v/>
      </c>
    </row>
    <row r="425" spans="5:5" x14ac:dyDescent="0.25">
      <c r="E425" s="3" t="str">
        <f t="shared" si="6"/>
        <v/>
      </c>
    </row>
    <row r="426" spans="5:5" x14ac:dyDescent="0.25">
      <c r="E426" s="3" t="str">
        <f t="shared" si="6"/>
        <v/>
      </c>
    </row>
    <row r="427" spans="5:5" x14ac:dyDescent="0.25">
      <c r="E427" s="3" t="str">
        <f t="shared" si="6"/>
        <v/>
      </c>
    </row>
    <row r="428" spans="5:5" x14ac:dyDescent="0.25">
      <c r="E428" s="3" t="str">
        <f t="shared" si="6"/>
        <v/>
      </c>
    </row>
    <row r="429" spans="5:5" x14ac:dyDescent="0.25">
      <c r="E429" s="3" t="str">
        <f t="shared" si="6"/>
        <v/>
      </c>
    </row>
    <row r="430" spans="5:5" x14ac:dyDescent="0.25">
      <c r="E430" s="3" t="str">
        <f t="shared" si="6"/>
        <v/>
      </c>
    </row>
    <row r="431" spans="5:5" x14ac:dyDescent="0.25">
      <c r="E431" s="3" t="str">
        <f t="shared" si="6"/>
        <v/>
      </c>
    </row>
    <row r="432" spans="5:5" x14ac:dyDescent="0.25">
      <c r="E432" s="3" t="str">
        <f t="shared" si="6"/>
        <v/>
      </c>
    </row>
    <row r="433" spans="5:5" x14ac:dyDescent="0.25">
      <c r="E433" s="3" t="str">
        <f t="shared" si="6"/>
        <v/>
      </c>
    </row>
    <row r="434" spans="5:5" x14ac:dyDescent="0.25">
      <c r="E434" s="3" t="str">
        <f t="shared" si="6"/>
        <v/>
      </c>
    </row>
    <row r="435" spans="5:5" x14ac:dyDescent="0.25">
      <c r="E435" s="3" t="str">
        <f t="shared" si="6"/>
        <v/>
      </c>
    </row>
    <row r="436" spans="5:5" x14ac:dyDescent="0.25">
      <c r="E436" s="3" t="str">
        <f t="shared" si="6"/>
        <v/>
      </c>
    </row>
    <row r="437" spans="5:5" x14ac:dyDescent="0.25">
      <c r="E437" s="3" t="str">
        <f t="shared" si="6"/>
        <v/>
      </c>
    </row>
    <row r="438" spans="5:5" x14ac:dyDescent="0.25">
      <c r="E438" s="3" t="str">
        <f t="shared" si="6"/>
        <v/>
      </c>
    </row>
    <row r="439" spans="5:5" x14ac:dyDescent="0.25">
      <c r="E439" s="3" t="str">
        <f t="shared" si="6"/>
        <v/>
      </c>
    </row>
    <row r="440" spans="5:5" x14ac:dyDescent="0.25">
      <c r="E440" s="3" t="str">
        <f t="shared" si="6"/>
        <v/>
      </c>
    </row>
    <row r="441" spans="5:5" x14ac:dyDescent="0.25">
      <c r="E441" s="3" t="str">
        <f t="shared" si="6"/>
        <v/>
      </c>
    </row>
    <row r="442" spans="5:5" x14ac:dyDescent="0.25">
      <c r="E442" s="3" t="str">
        <f t="shared" si="6"/>
        <v/>
      </c>
    </row>
    <row r="443" spans="5:5" x14ac:dyDescent="0.25">
      <c r="E443" s="3" t="str">
        <f t="shared" si="6"/>
        <v/>
      </c>
    </row>
    <row r="444" spans="5:5" x14ac:dyDescent="0.25">
      <c r="E444" s="3" t="str">
        <f t="shared" si="6"/>
        <v/>
      </c>
    </row>
    <row r="445" spans="5:5" x14ac:dyDescent="0.25">
      <c r="E445" s="3" t="str">
        <f t="shared" si="6"/>
        <v/>
      </c>
    </row>
    <row r="446" spans="5:5" x14ac:dyDescent="0.25">
      <c r="E446" s="3" t="str">
        <f t="shared" si="6"/>
        <v/>
      </c>
    </row>
    <row r="447" spans="5:5" x14ac:dyDescent="0.25">
      <c r="E447" s="3" t="str">
        <f t="shared" si="6"/>
        <v/>
      </c>
    </row>
    <row r="448" spans="5:5" x14ac:dyDescent="0.25">
      <c r="E448" s="3" t="str">
        <f t="shared" si="6"/>
        <v/>
      </c>
    </row>
    <row r="449" spans="5:5" x14ac:dyDescent="0.25">
      <c r="E449" s="3" t="str">
        <f t="shared" si="6"/>
        <v/>
      </c>
    </row>
    <row r="450" spans="5:5" x14ac:dyDescent="0.25">
      <c r="E450" s="3" t="str">
        <f t="shared" si="6"/>
        <v/>
      </c>
    </row>
    <row r="451" spans="5:5" x14ac:dyDescent="0.25">
      <c r="E451" s="3" t="str">
        <f t="shared" ref="E451:E514" si="7">IF(COUNTIF(C$3:C$5000,C451)&gt;1,"DUPLICADO","")</f>
        <v/>
      </c>
    </row>
    <row r="452" spans="5:5" x14ac:dyDescent="0.25">
      <c r="E452" s="3" t="str">
        <f t="shared" si="7"/>
        <v/>
      </c>
    </row>
    <row r="453" spans="5:5" x14ac:dyDescent="0.25">
      <c r="E453" s="3" t="str">
        <f t="shared" si="7"/>
        <v/>
      </c>
    </row>
    <row r="454" spans="5:5" x14ac:dyDescent="0.25">
      <c r="E454" s="3" t="str">
        <f t="shared" si="7"/>
        <v/>
      </c>
    </row>
    <row r="455" spans="5:5" x14ac:dyDescent="0.25">
      <c r="E455" s="3" t="str">
        <f t="shared" si="7"/>
        <v/>
      </c>
    </row>
    <row r="456" spans="5:5" x14ac:dyDescent="0.25">
      <c r="E456" s="3" t="str">
        <f t="shared" si="7"/>
        <v/>
      </c>
    </row>
    <row r="457" spans="5:5" x14ac:dyDescent="0.25">
      <c r="E457" s="3" t="str">
        <f t="shared" si="7"/>
        <v/>
      </c>
    </row>
    <row r="458" spans="5:5" x14ac:dyDescent="0.25">
      <c r="E458" s="3" t="str">
        <f t="shared" si="7"/>
        <v/>
      </c>
    </row>
    <row r="459" spans="5:5" x14ac:dyDescent="0.25">
      <c r="E459" s="3" t="str">
        <f t="shared" si="7"/>
        <v/>
      </c>
    </row>
    <row r="460" spans="5:5" x14ac:dyDescent="0.25">
      <c r="E460" s="3" t="str">
        <f t="shared" si="7"/>
        <v/>
      </c>
    </row>
    <row r="461" spans="5:5" x14ac:dyDescent="0.25">
      <c r="E461" s="3" t="str">
        <f t="shared" si="7"/>
        <v/>
      </c>
    </row>
    <row r="462" spans="5:5" x14ac:dyDescent="0.25">
      <c r="E462" s="3" t="str">
        <f t="shared" si="7"/>
        <v/>
      </c>
    </row>
    <row r="463" spans="5:5" x14ac:dyDescent="0.25">
      <c r="E463" s="3" t="str">
        <f t="shared" si="7"/>
        <v/>
      </c>
    </row>
    <row r="464" spans="5:5" x14ac:dyDescent="0.25">
      <c r="E464" s="3" t="str">
        <f t="shared" si="7"/>
        <v/>
      </c>
    </row>
    <row r="465" spans="5:5" x14ac:dyDescent="0.25">
      <c r="E465" s="3" t="str">
        <f t="shared" si="7"/>
        <v/>
      </c>
    </row>
    <row r="466" spans="5:5" x14ac:dyDescent="0.25">
      <c r="E466" s="3" t="str">
        <f t="shared" si="7"/>
        <v/>
      </c>
    </row>
    <row r="467" spans="5:5" x14ac:dyDescent="0.25">
      <c r="E467" s="3" t="str">
        <f t="shared" si="7"/>
        <v/>
      </c>
    </row>
    <row r="468" spans="5:5" x14ac:dyDescent="0.25">
      <c r="E468" s="3" t="str">
        <f t="shared" si="7"/>
        <v/>
      </c>
    </row>
    <row r="469" spans="5:5" x14ac:dyDescent="0.25">
      <c r="E469" s="3" t="str">
        <f t="shared" si="7"/>
        <v/>
      </c>
    </row>
    <row r="470" spans="5:5" x14ac:dyDescent="0.25">
      <c r="E470" s="3" t="str">
        <f t="shared" si="7"/>
        <v/>
      </c>
    </row>
    <row r="471" spans="5:5" x14ac:dyDescent="0.25">
      <c r="E471" s="3" t="str">
        <f t="shared" si="7"/>
        <v/>
      </c>
    </row>
    <row r="472" spans="5:5" x14ac:dyDescent="0.25">
      <c r="E472" s="3" t="str">
        <f t="shared" si="7"/>
        <v/>
      </c>
    </row>
    <row r="473" spans="5:5" x14ac:dyDescent="0.25">
      <c r="E473" s="3" t="str">
        <f t="shared" si="7"/>
        <v/>
      </c>
    </row>
    <row r="474" spans="5:5" x14ac:dyDescent="0.25">
      <c r="E474" s="3" t="str">
        <f t="shared" si="7"/>
        <v/>
      </c>
    </row>
    <row r="475" spans="5:5" x14ac:dyDescent="0.25">
      <c r="E475" s="3" t="str">
        <f t="shared" si="7"/>
        <v/>
      </c>
    </row>
    <row r="476" spans="5:5" x14ac:dyDescent="0.25">
      <c r="E476" s="3" t="str">
        <f t="shared" si="7"/>
        <v/>
      </c>
    </row>
    <row r="477" spans="5:5" x14ac:dyDescent="0.25">
      <c r="E477" s="3" t="str">
        <f t="shared" si="7"/>
        <v/>
      </c>
    </row>
    <row r="478" spans="5:5" x14ac:dyDescent="0.25">
      <c r="E478" s="3" t="str">
        <f t="shared" si="7"/>
        <v/>
      </c>
    </row>
    <row r="479" spans="5:5" x14ac:dyDescent="0.25">
      <c r="E479" s="3" t="str">
        <f t="shared" si="7"/>
        <v/>
      </c>
    </row>
    <row r="480" spans="5:5" x14ac:dyDescent="0.25">
      <c r="E480" s="3" t="str">
        <f t="shared" si="7"/>
        <v/>
      </c>
    </row>
    <row r="481" spans="5:5" x14ac:dyDescent="0.25">
      <c r="E481" s="3" t="str">
        <f t="shared" si="7"/>
        <v/>
      </c>
    </row>
    <row r="482" spans="5:5" x14ac:dyDescent="0.25">
      <c r="E482" s="3" t="str">
        <f t="shared" si="7"/>
        <v/>
      </c>
    </row>
    <row r="483" spans="5:5" x14ac:dyDescent="0.25">
      <c r="E483" s="3" t="str">
        <f t="shared" si="7"/>
        <v/>
      </c>
    </row>
    <row r="484" spans="5:5" x14ac:dyDescent="0.25">
      <c r="E484" s="3" t="str">
        <f t="shared" si="7"/>
        <v/>
      </c>
    </row>
    <row r="485" spans="5:5" x14ac:dyDescent="0.25">
      <c r="E485" s="3" t="str">
        <f t="shared" si="7"/>
        <v/>
      </c>
    </row>
    <row r="486" spans="5:5" x14ac:dyDescent="0.25">
      <c r="E486" s="3" t="str">
        <f t="shared" si="7"/>
        <v/>
      </c>
    </row>
    <row r="487" spans="5:5" x14ac:dyDescent="0.25">
      <c r="E487" s="3" t="str">
        <f t="shared" si="7"/>
        <v/>
      </c>
    </row>
    <row r="488" spans="5:5" x14ac:dyDescent="0.25">
      <c r="E488" s="3" t="str">
        <f t="shared" si="7"/>
        <v/>
      </c>
    </row>
    <row r="489" spans="5:5" x14ac:dyDescent="0.25">
      <c r="E489" s="3" t="str">
        <f t="shared" si="7"/>
        <v/>
      </c>
    </row>
    <row r="490" spans="5:5" x14ac:dyDescent="0.25">
      <c r="E490" s="3" t="str">
        <f t="shared" si="7"/>
        <v/>
      </c>
    </row>
    <row r="491" spans="5:5" x14ac:dyDescent="0.25">
      <c r="E491" s="3" t="str">
        <f t="shared" si="7"/>
        <v/>
      </c>
    </row>
    <row r="492" spans="5:5" x14ac:dyDescent="0.25">
      <c r="E492" s="3" t="str">
        <f t="shared" si="7"/>
        <v/>
      </c>
    </row>
    <row r="493" spans="5:5" x14ac:dyDescent="0.25">
      <c r="E493" s="3" t="str">
        <f t="shared" si="7"/>
        <v/>
      </c>
    </row>
    <row r="494" spans="5:5" x14ac:dyDescent="0.25">
      <c r="E494" s="3" t="str">
        <f t="shared" si="7"/>
        <v/>
      </c>
    </row>
    <row r="495" spans="5:5" x14ac:dyDescent="0.25">
      <c r="E495" s="3" t="str">
        <f t="shared" si="7"/>
        <v/>
      </c>
    </row>
    <row r="496" spans="5:5" x14ac:dyDescent="0.25">
      <c r="E496" s="3" t="str">
        <f t="shared" si="7"/>
        <v/>
      </c>
    </row>
    <row r="497" spans="5:5" x14ac:dyDescent="0.25">
      <c r="E497" s="3" t="str">
        <f t="shared" si="7"/>
        <v/>
      </c>
    </row>
    <row r="498" spans="5:5" x14ac:dyDescent="0.25">
      <c r="E498" s="3" t="str">
        <f t="shared" si="7"/>
        <v/>
      </c>
    </row>
    <row r="499" spans="5:5" x14ac:dyDescent="0.25">
      <c r="E499" s="3" t="str">
        <f t="shared" si="7"/>
        <v/>
      </c>
    </row>
    <row r="500" spans="5:5" x14ac:dyDescent="0.25">
      <c r="E500" s="3" t="str">
        <f t="shared" si="7"/>
        <v/>
      </c>
    </row>
    <row r="501" spans="5:5" x14ac:dyDescent="0.25">
      <c r="E501" s="3" t="str">
        <f t="shared" si="7"/>
        <v/>
      </c>
    </row>
    <row r="502" spans="5:5" x14ac:dyDescent="0.25">
      <c r="E502" s="3" t="str">
        <f t="shared" si="7"/>
        <v/>
      </c>
    </row>
    <row r="503" spans="5:5" x14ac:dyDescent="0.25">
      <c r="E503" s="3" t="str">
        <f t="shared" si="7"/>
        <v/>
      </c>
    </row>
    <row r="504" spans="5:5" x14ac:dyDescent="0.25">
      <c r="E504" s="3" t="str">
        <f t="shared" si="7"/>
        <v/>
      </c>
    </row>
    <row r="505" spans="5:5" x14ac:dyDescent="0.25">
      <c r="E505" s="3" t="str">
        <f t="shared" si="7"/>
        <v/>
      </c>
    </row>
    <row r="506" spans="5:5" x14ac:dyDescent="0.25">
      <c r="E506" s="3" t="str">
        <f t="shared" si="7"/>
        <v/>
      </c>
    </row>
    <row r="507" spans="5:5" x14ac:dyDescent="0.25">
      <c r="E507" s="3" t="str">
        <f t="shared" si="7"/>
        <v/>
      </c>
    </row>
    <row r="508" spans="5:5" x14ac:dyDescent="0.25">
      <c r="E508" s="3" t="str">
        <f t="shared" si="7"/>
        <v/>
      </c>
    </row>
    <row r="509" spans="5:5" x14ac:dyDescent="0.25">
      <c r="E509" s="3" t="str">
        <f t="shared" si="7"/>
        <v/>
      </c>
    </row>
    <row r="510" spans="5:5" x14ac:dyDescent="0.25">
      <c r="E510" s="3" t="str">
        <f t="shared" si="7"/>
        <v/>
      </c>
    </row>
    <row r="511" spans="5:5" x14ac:dyDescent="0.25">
      <c r="E511" s="3" t="str">
        <f t="shared" si="7"/>
        <v/>
      </c>
    </row>
    <row r="512" spans="5:5" x14ac:dyDescent="0.25">
      <c r="E512" s="3" t="str">
        <f t="shared" si="7"/>
        <v/>
      </c>
    </row>
    <row r="513" spans="5:5" x14ac:dyDescent="0.25">
      <c r="E513" s="3" t="str">
        <f t="shared" si="7"/>
        <v/>
      </c>
    </row>
    <row r="514" spans="5:5" x14ac:dyDescent="0.25">
      <c r="E514" s="3" t="str">
        <f t="shared" si="7"/>
        <v/>
      </c>
    </row>
    <row r="515" spans="5:5" x14ac:dyDescent="0.25">
      <c r="E515" s="3" t="str">
        <f t="shared" ref="E515:E578" si="8">IF(COUNTIF(C$3:C$5000,C515)&gt;1,"DUPLICADO","")</f>
        <v/>
      </c>
    </row>
    <row r="516" spans="5:5" x14ac:dyDescent="0.25">
      <c r="E516" s="3" t="str">
        <f t="shared" si="8"/>
        <v/>
      </c>
    </row>
    <row r="517" spans="5:5" x14ac:dyDescent="0.25">
      <c r="E517" s="3" t="str">
        <f t="shared" si="8"/>
        <v/>
      </c>
    </row>
    <row r="518" spans="5:5" x14ac:dyDescent="0.25">
      <c r="E518" s="3" t="str">
        <f t="shared" si="8"/>
        <v/>
      </c>
    </row>
    <row r="519" spans="5:5" x14ac:dyDescent="0.25">
      <c r="E519" s="3" t="str">
        <f t="shared" si="8"/>
        <v/>
      </c>
    </row>
    <row r="520" spans="5:5" x14ac:dyDescent="0.25">
      <c r="E520" s="3" t="str">
        <f t="shared" si="8"/>
        <v/>
      </c>
    </row>
    <row r="521" spans="5:5" x14ac:dyDescent="0.25">
      <c r="E521" s="3" t="str">
        <f t="shared" si="8"/>
        <v/>
      </c>
    </row>
    <row r="522" spans="5:5" x14ac:dyDescent="0.25">
      <c r="E522" s="3" t="str">
        <f t="shared" si="8"/>
        <v/>
      </c>
    </row>
    <row r="523" spans="5:5" x14ac:dyDescent="0.25">
      <c r="E523" s="3" t="str">
        <f t="shared" si="8"/>
        <v/>
      </c>
    </row>
    <row r="524" spans="5:5" x14ac:dyDescent="0.25">
      <c r="E524" s="3" t="str">
        <f t="shared" si="8"/>
        <v/>
      </c>
    </row>
    <row r="525" spans="5:5" x14ac:dyDescent="0.25">
      <c r="E525" s="3" t="str">
        <f t="shared" si="8"/>
        <v/>
      </c>
    </row>
    <row r="526" spans="5:5" x14ac:dyDescent="0.25">
      <c r="E526" s="3" t="str">
        <f t="shared" si="8"/>
        <v/>
      </c>
    </row>
    <row r="527" spans="5:5" x14ac:dyDescent="0.25">
      <c r="E527" s="3" t="str">
        <f t="shared" si="8"/>
        <v/>
      </c>
    </row>
    <row r="528" spans="5:5" x14ac:dyDescent="0.25">
      <c r="E528" s="3" t="str">
        <f t="shared" si="8"/>
        <v/>
      </c>
    </row>
    <row r="529" spans="5:5" x14ac:dyDescent="0.25">
      <c r="E529" s="3" t="str">
        <f t="shared" si="8"/>
        <v/>
      </c>
    </row>
    <row r="530" spans="5:5" x14ac:dyDescent="0.25">
      <c r="E530" s="3" t="str">
        <f t="shared" si="8"/>
        <v/>
      </c>
    </row>
    <row r="531" spans="5:5" x14ac:dyDescent="0.25">
      <c r="E531" s="3" t="str">
        <f t="shared" si="8"/>
        <v/>
      </c>
    </row>
    <row r="532" spans="5:5" x14ac:dyDescent="0.25">
      <c r="E532" s="3" t="str">
        <f t="shared" si="8"/>
        <v/>
      </c>
    </row>
    <row r="533" spans="5:5" x14ac:dyDescent="0.25">
      <c r="E533" s="3" t="str">
        <f t="shared" si="8"/>
        <v/>
      </c>
    </row>
    <row r="534" spans="5:5" x14ac:dyDescent="0.25">
      <c r="E534" s="3" t="str">
        <f t="shared" si="8"/>
        <v/>
      </c>
    </row>
    <row r="535" spans="5:5" x14ac:dyDescent="0.25">
      <c r="E535" s="3" t="str">
        <f t="shared" si="8"/>
        <v/>
      </c>
    </row>
    <row r="536" spans="5:5" x14ac:dyDescent="0.25">
      <c r="E536" s="3" t="str">
        <f t="shared" si="8"/>
        <v/>
      </c>
    </row>
    <row r="537" spans="5:5" x14ac:dyDescent="0.25">
      <c r="E537" s="3" t="str">
        <f t="shared" si="8"/>
        <v/>
      </c>
    </row>
    <row r="538" spans="5:5" x14ac:dyDescent="0.25">
      <c r="E538" s="3" t="str">
        <f t="shared" si="8"/>
        <v/>
      </c>
    </row>
    <row r="539" spans="5:5" x14ac:dyDescent="0.25">
      <c r="E539" s="3" t="str">
        <f t="shared" si="8"/>
        <v/>
      </c>
    </row>
    <row r="540" spans="5:5" x14ac:dyDescent="0.25">
      <c r="E540" s="3" t="str">
        <f t="shared" si="8"/>
        <v/>
      </c>
    </row>
    <row r="541" spans="5:5" x14ac:dyDescent="0.25">
      <c r="E541" s="3" t="str">
        <f t="shared" si="8"/>
        <v/>
      </c>
    </row>
    <row r="542" spans="5:5" x14ac:dyDescent="0.25">
      <c r="E542" s="3" t="str">
        <f t="shared" si="8"/>
        <v/>
      </c>
    </row>
    <row r="543" spans="5:5" x14ac:dyDescent="0.25">
      <c r="E543" s="3" t="str">
        <f t="shared" si="8"/>
        <v/>
      </c>
    </row>
    <row r="544" spans="5:5" x14ac:dyDescent="0.25">
      <c r="E544" s="3" t="str">
        <f t="shared" si="8"/>
        <v/>
      </c>
    </row>
    <row r="545" spans="5:5" x14ac:dyDescent="0.25">
      <c r="E545" s="3" t="str">
        <f t="shared" si="8"/>
        <v/>
      </c>
    </row>
    <row r="546" spans="5:5" x14ac:dyDescent="0.25">
      <c r="E546" s="3" t="str">
        <f t="shared" si="8"/>
        <v/>
      </c>
    </row>
    <row r="547" spans="5:5" x14ac:dyDescent="0.25">
      <c r="E547" s="3" t="str">
        <f t="shared" si="8"/>
        <v/>
      </c>
    </row>
    <row r="548" spans="5:5" x14ac:dyDescent="0.25">
      <c r="E548" s="3" t="str">
        <f t="shared" si="8"/>
        <v/>
      </c>
    </row>
    <row r="549" spans="5:5" x14ac:dyDescent="0.25">
      <c r="E549" s="3" t="str">
        <f t="shared" si="8"/>
        <v/>
      </c>
    </row>
    <row r="550" spans="5:5" x14ac:dyDescent="0.25">
      <c r="E550" s="3" t="str">
        <f t="shared" si="8"/>
        <v/>
      </c>
    </row>
    <row r="551" spans="5:5" x14ac:dyDescent="0.25">
      <c r="E551" s="3" t="str">
        <f t="shared" si="8"/>
        <v/>
      </c>
    </row>
    <row r="552" spans="5:5" x14ac:dyDescent="0.25">
      <c r="E552" s="3" t="str">
        <f t="shared" si="8"/>
        <v/>
      </c>
    </row>
    <row r="553" spans="5:5" x14ac:dyDescent="0.25">
      <c r="E553" s="3" t="str">
        <f t="shared" si="8"/>
        <v/>
      </c>
    </row>
    <row r="554" spans="5:5" x14ac:dyDescent="0.25">
      <c r="E554" s="3" t="str">
        <f t="shared" si="8"/>
        <v/>
      </c>
    </row>
    <row r="555" spans="5:5" x14ac:dyDescent="0.25">
      <c r="E555" s="3" t="str">
        <f t="shared" si="8"/>
        <v/>
      </c>
    </row>
    <row r="556" spans="5:5" x14ac:dyDescent="0.25">
      <c r="E556" s="3" t="str">
        <f t="shared" si="8"/>
        <v/>
      </c>
    </row>
    <row r="557" spans="5:5" x14ac:dyDescent="0.25">
      <c r="E557" s="3" t="str">
        <f t="shared" si="8"/>
        <v/>
      </c>
    </row>
    <row r="558" spans="5:5" x14ac:dyDescent="0.25">
      <c r="E558" s="3" t="str">
        <f t="shared" si="8"/>
        <v/>
      </c>
    </row>
    <row r="559" spans="5:5" x14ac:dyDescent="0.25">
      <c r="E559" s="3" t="str">
        <f t="shared" si="8"/>
        <v/>
      </c>
    </row>
    <row r="560" spans="5:5" x14ac:dyDescent="0.25">
      <c r="E560" s="3" t="str">
        <f t="shared" si="8"/>
        <v/>
      </c>
    </row>
    <row r="561" spans="5:5" x14ac:dyDescent="0.25">
      <c r="E561" s="3" t="str">
        <f t="shared" si="8"/>
        <v/>
      </c>
    </row>
    <row r="562" spans="5:5" x14ac:dyDescent="0.25">
      <c r="E562" s="3" t="str">
        <f t="shared" si="8"/>
        <v/>
      </c>
    </row>
    <row r="563" spans="5:5" x14ac:dyDescent="0.25">
      <c r="E563" s="3" t="str">
        <f t="shared" si="8"/>
        <v/>
      </c>
    </row>
    <row r="564" spans="5:5" x14ac:dyDescent="0.25">
      <c r="E564" s="3" t="str">
        <f t="shared" si="8"/>
        <v/>
      </c>
    </row>
    <row r="565" spans="5:5" x14ac:dyDescent="0.25">
      <c r="E565" s="3" t="str">
        <f t="shared" si="8"/>
        <v/>
      </c>
    </row>
    <row r="566" spans="5:5" x14ac:dyDescent="0.25">
      <c r="E566" s="3" t="str">
        <f t="shared" si="8"/>
        <v/>
      </c>
    </row>
    <row r="567" spans="5:5" x14ac:dyDescent="0.25">
      <c r="E567" s="3" t="str">
        <f t="shared" si="8"/>
        <v/>
      </c>
    </row>
    <row r="568" spans="5:5" x14ac:dyDescent="0.25">
      <c r="E568" s="3" t="str">
        <f t="shared" si="8"/>
        <v/>
      </c>
    </row>
    <row r="569" spans="5:5" x14ac:dyDescent="0.25">
      <c r="E569" s="3" t="str">
        <f t="shared" si="8"/>
        <v/>
      </c>
    </row>
    <row r="570" spans="5:5" x14ac:dyDescent="0.25">
      <c r="E570" s="3" t="str">
        <f t="shared" si="8"/>
        <v/>
      </c>
    </row>
    <row r="571" spans="5:5" x14ac:dyDescent="0.25">
      <c r="E571" s="3" t="str">
        <f t="shared" si="8"/>
        <v/>
      </c>
    </row>
    <row r="572" spans="5:5" x14ac:dyDescent="0.25">
      <c r="E572" s="3" t="str">
        <f t="shared" si="8"/>
        <v/>
      </c>
    </row>
    <row r="573" spans="5:5" x14ac:dyDescent="0.25">
      <c r="E573" s="3" t="str">
        <f t="shared" si="8"/>
        <v/>
      </c>
    </row>
    <row r="574" spans="5:5" x14ac:dyDescent="0.25">
      <c r="E574" s="3" t="str">
        <f t="shared" si="8"/>
        <v/>
      </c>
    </row>
    <row r="575" spans="5:5" x14ac:dyDescent="0.25">
      <c r="E575" s="3" t="str">
        <f t="shared" si="8"/>
        <v/>
      </c>
    </row>
    <row r="576" spans="5:5" x14ac:dyDescent="0.25">
      <c r="E576" s="3" t="str">
        <f t="shared" si="8"/>
        <v/>
      </c>
    </row>
    <row r="577" spans="5:5" x14ac:dyDescent="0.25">
      <c r="E577" s="3" t="str">
        <f t="shared" si="8"/>
        <v/>
      </c>
    </row>
    <row r="578" spans="5:5" x14ac:dyDescent="0.25">
      <c r="E578" s="3" t="str">
        <f t="shared" si="8"/>
        <v/>
      </c>
    </row>
    <row r="579" spans="5:5" x14ac:dyDescent="0.25">
      <c r="E579" s="3" t="str">
        <f t="shared" ref="E579:E642" si="9">IF(COUNTIF(C$3:C$5000,C579)&gt;1,"DUPLICADO","")</f>
        <v/>
      </c>
    </row>
    <row r="580" spans="5:5" x14ac:dyDescent="0.25">
      <c r="E580" s="3" t="str">
        <f t="shared" si="9"/>
        <v/>
      </c>
    </row>
    <row r="581" spans="5:5" x14ac:dyDescent="0.25">
      <c r="E581" s="3" t="str">
        <f t="shared" si="9"/>
        <v/>
      </c>
    </row>
    <row r="582" spans="5:5" x14ac:dyDescent="0.25">
      <c r="E582" s="3" t="str">
        <f t="shared" si="9"/>
        <v/>
      </c>
    </row>
    <row r="583" spans="5:5" x14ac:dyDescent="0.25">
      <c r="E583" s="3" t="str">
        <f t="shared" si="9"/>
        <v/>
      </c>
    </row>
    <row r="584" spans="5:5" x14ac:dyDescent="0.25">
      <c r="E584" s="3" t="str">
        <f t="shared" si="9"/>
        <v/>
      </c>
    </row>
    <row r="585" spans="5:5" x14ac:dyDescent="0.25">
      <c r="E585" s="3" t="str">
        <f t="shared" si="9"/>
        <v/>
      </c>
    </row>
    <row r="586" spans="5:5" x14ac:dyDescent="0.25">
      <c r="E586" s="3" t="str">
        <f t="shared" si="9"/>
        <v/>
      </c>
    </row>
    <row r="587" spans="5:5" x14ac:dyDescent="0.25">
      <c r="E587" s="3" t="str">
        <f t="shared" si="9"/>
        <v/>
      </c>
    </row>
    <row r="588" spans="5:5" x14ac:dyDescent="0.25">
      <c r="E588" s="3" t="str">
        <f t="shared" si="9"/>
        <v/>
      </c>
    </row>
    <row r="589" spans="5:5" x14ac:dyDescent="0.25">
      <c r="E589" s="3" t="str">
        <f t="shared" si="9"/>
        <v/>
      </c>
    </row>
    <row r="590" spans="5:5" x14ac:dyDescent="0.25">
      <c r="E590" s="3" t="str">
        <f t="shared" si="9"/>
        <v/>
      </c>
    </row>
    <row r="591" spans="5:5" x14ac:dyDescent="0.25">
      <c r="E591" s="3" t="str">
        <f t="shared" si="9"/>
        <v/>
      </c>
    </row>
    <row r="592" spans="5:5" x14ac:dyDescent="0.25">
      <c r="E592" s="3" t="str">
        <f t="shared" si="9"/>
        <v/>
      </c>
    </row>
    <row r="593" spans="5:5" x14ac:dyDescent="0.25">
      <c r="E593" s="3" t="str">
        <f t="shared" si="9"/>
        <v/>
      </c>
    </row>
    <row r="594" spans="5:5" x14ac:dyDescent="0.25">
      <c r="E594" s="3" t="str">
        <f t="shared" si="9"/>
        <v/>
      </c>
    </row>
    <row r="595" spans="5:5" x14ac:dyDescent="0.25">
      <c r="E595" s="3" t="str">
        <f t="shared" si="9"/>
        <v/>
      </c>
    </row>
    <row r="596" spans="5:5" x14ac:dyDescent="0.25">
      <c r="E596" s="3" t="str">
        <f t="shared" si="9"/>
        <v/>
      </c>
    </row>
    <row r="597" spans="5:5" x14ac:dyDescent="0.25">
      <c r="E597" s="3" t="str">
        <f t="shared" si="9"/>
        <v/>
      </c>
    </row>
    <row r="598" spans="5:5" x14ac:dyDescent="0.25">
      <c r="E598" s="3" t="str">
        <f t="shared" si="9"/>
        <v/>
      </c>
    </row>
    <row r="599" spans="5:5" x14ac:dyDescent="0.25">
      <c r="E599" s="3" t="str">
        <f t="shared" si="9"/>
        <v/>
      </c>
    </row>
    <row r="600" spans="5:5" x14ac:dyDescent="0.25">
      <c r="E600" s="3" t="str">
        <f t="shared" si="9"/>
        <v/>
      </c>
    </row>
    <row r="601" spans="5:5" x14ac:dyDescent="0.25">
      <c r="E601" s="3" t="str">
        <f t="shared" si="9"/>
        <v/>
      </c>
    </row>
    <row r="602" spans="5:5" x14ac:dyDescent="0.25">
      <c r="E602" s="3" t="str">
        <f t="shared" si="9"/>
        <v/>
      </c>
    </row>
    <row r="603" spans="5:5" x14ac:dyDescent="0.25">
      <c r="E603" s="3" t="str">
        <f t="shared" si="9"/>
        <v/>
      </c>
    </row>
    <row r="604" spans="5:5" x14ac:dyDescent="0.25">
      <c r="E604" s="3" t="str">
        <f t="shared" si="9"/>
        <v/>
      </c>
    </row>
    <row r="605" spans="5:5" x14ac:dyDescent="0.25">
      <c r="E605" s="3" t="str">
        <f t="shared" si="9"/>
        <v/>
      </c>
    </row>
    <row r="606" spans="5:5" x14ac:dyDescent="0.25">
      <c r="E606" s="3" t="str">
        <f t="shared" si="9"/>
        <v/>
      </c>
    </row>
    <row r="607" spans="5:5" x14ac:dyDescent="0.25">
      <c r="E607" s="3" t="str">
        <f t="shared" si="9"/>
        <v/>
      </c>
    </row>
    <row r="608" spans="5:5" x14ac:dyDescent="0.25">
      <c r="E608" s="3" t="str">
        <f t="shared" si="9"/>
        <v/>
      </c>
    </row>
    <row r="609" spans="5:5" x14ac:dyDescent="0.25">
      <c r="E609" s="3" t="str">
        <f t="shared" si="9"/>
        <v/>
      </c>
    </row>
    <row r="610" spans="5:5" x14ac:dyDescent="0.25">
      <c r="E610" s="3" t="str">
        <f t="shared" si="9"/>
        <v/>
      </c>
    </row>
    <row r="611" spans="5:5" x14ac:dyDescent="0.25">
      <c r="E611" s="3" t="str">
        <f t="shared" si="9"/>
        <v/>
      </c>
    </row>
    <row r="612" spans="5:5" x14ac:dyDescent="0.25">
      <c r="E612" s="3" t="str">
        <f t="shared" si="9"/>
        <v/>
      </c>
    </row>
    <row r="613" spans="5:5" x14ac:dyDescent="0.25">
      <c r="E613" s="3" t="str">
        <f t="shared" si="9"/>
        <v/>
      </c>
    </row>
    <row r="614" spans="5:5" x14ac:dyDescent="0.25">
      <c r="E614" s="3" t="str">
        <f t="shared" si="9"/>
        <v/>
      </c>
    </row>
    <row r="615" spans="5:5" x14ac:dyDescent="0.25">
      <c r="E615" s="3" t="str">
        <f t="shared" si="9"/>
        <v/>
      </c>
    </row>
    <row r="616" spans="5:5" x14ac:dyDescent="0.25">
      <c r="E616" s="3" t="str">
        <f t="shared" si="9"/>
        <v/>
      </c>
    </row>
    <row r="617" spans="5:5" x14ac:dyDescent="0.25">
      <c r="E617" s="3" t="str">
        <f t="shared" si="9"/>
        <v/>
      </c>
    </row>
    <row r="618" spans="5:5" x14ac:dyDescent="0.25">
      <c r="E618" s="3" t="str">
        <f t="shared" si="9"/>
        <v/>
      </c>
    </row>
    <row r="619" spans="5:5" x14ac:dyDescent="0.25">
      <c r="E619" s="3" t="str">
        <f t="shared" si="9"/>
        <v/>
      </c>
    </row>
    <row r="620" spans="5:5" x14ac:dyDescent="0.25">
      <c r="E620" s="3" t="str">
        <f t="shared" si="9"/>
        <v/>
      </c>
    </row>
    <row r="621" spans="5:5" x14ac:dyDescent="0.25">
      <c r="E621" s="3" t="str">
        <f t="shared" si="9"/>
        <v/>
      </c>
    </row>
    <row r="622" spans="5:5" x14ac:dyDescent="0.25">
      <c r="E622" s="3" t="str">
        <f t="shared" si="9"/>
        <v/>
      </c>
    </row>
    <row r="623" spans="5:5" x14ac:dyDescent="0.25">
      <c r="E623" s="3" t="str">
        <f t="shared" si="9"/>
        <v/>
      </c>
    </row>
    <row r="624" spans="5:5" x14ac:dyDescent="0.25">
      <c r="E624" s="3" t="str">
        <f t="shared" si="9"/>
        <v/>
      </c>
    </row>
    <row r="625" spans="5:5" x14ac:dyDescent="0.25">
      <c r="E625" s="3" t="str">
        <f t="shared" si="9"/>
        <v/>
      </c>
    </row>
    <row r="626" spans="5:5" x14ac:dyDescent="0.25">
      <c r="E626" s="3" t="str">
        <f t="shared" si="9"/>
        <v/>
      </c>
    </row>
    <row r="627" spans="5:5" x14ac:dyDescent="0.25">
      <c r="E627" s="3" t="str">
        <f t="shared" si="9"/>
        <v/>
      </c>
    </row>
    <row r="628" spans="5:5" x14ac:dyDescent="0.25">
      <c r="E628" s="3" t="str">
        <f t="shared" si="9"/>
        <v/>
      </c>
    </row>
    <row r="629" spans="5:5" x14ac:dyDescent="0.25">
      <c r="E629" s="3" t="str">
        <f t="shared" si="9"/>
        <v/>
      </c>
    </row>
    <row r="630" spans="5:5" x14ac:dyDescent="0.25">
      <c r="E630" s="3" t="str">
        <f t="shared" si="9"/>
        <v/>
      </c>
    </row>
    <row r="631" spans="5:5" x14ac:dyDescent="0.25">
      <c r="E631" s="3" t="str">
        <f t="shared" si="9"/>
        <v/>
      </c>
    </row>
    <row r="632" spans="5:5" x14ac:dyDescent="0.25">
      <c r="E632" s="3" t="str">
        <f t="shared" si="9"/>
        <v/>
      </c>
    </row>
    <row r="633" spans="5:5" x14ac:dyDescent="0.25">
      <c r="E633" s="3" t="str">
        <f t="shared" si="9"/>
        <v/>
      </c>
    </row>
    <row r="634" spans="5:5" x14ac:dyDescent="0.25">
      <c r="E634" s="3" t="str">
        <f t="shared" si="9"/>
        <v/>
      </c>
    </row>
    <row r="635" spans="5:5" x14ac:dyDescent="0.25">
      <c r="E635" s="3" t="str">
        <f t="shared" si="9"/>
        <v/>
      </c>
    </row>
    <row r="636" spans="5:5" x14ac:dyDescent="0.25">
      <c r="E636" s="3" t="str">
        <f t="shared" si="9"/>
        <v/>
      </c>
    </row>
    <row r="637" spans="5:5" x14ac:dyDescent="0.25">
      <c r="E637" s="3" t="str">
        <f t="shared" si="9"/>
        <v/>
      </c>
    </row>
    <row r="638" spans="5:5" x14ac:dyDescent="0.25">
      <c r="E638" s="3" t="str">
        <f t="shared" si="9"/>
        <v/>
      </c>
    </row>
    <row r="639" spans="5:5" x14ac:dyDescent="0.25">
      <c r="E639" s="3" t="str">
        <f t="shared" si="9"/>
        <v/>
      </c>
    </row>
    <row r="640" spans="5:5" x14ac:dyDescent="0.25">
      <c r="E640" s="3" t="str">
        <f t="shared" si="9"/>
        <v/>
      </c>
    </row>
    <row r="641" spans="5:5" x14ac:dyDescent="0.25">
      <c r="E641" s="3" t="str">
        <f t="shared" si="9"/>
        <v/>
      </c>
    </row>
    <row r="642" spans="5:5" x14ac:dyDescent="0.25">
      <c r="E642" s="3" t="str">
        <f t="shared" si="9"/>
        <v/>
      </c>
    </row>
    <row r="643" spans="5:5" x14ac:dyDescent="0.25">
      <c r="E643" s="3" t="str">
        <f t="shared" ref="E643:E706" si="10">IF(COUNTIF(C$3:C$5000,C643)&gt;1,"DUPLICADO","")</f>
        <v/>
      </c>
    </row>
    <row r="644" spans="5:5" x14ac:dyDescent="0.25">
      <c r="E644" s="3" t="str">
        <f t="shared" si="10"/>
        <v/>
      </c>
    </row>
    <row r="645" spans="5:5" x14ac:dyDescent="0.25">
      <c r="E645" s="3" t="str">
        <f t="shared" si="10"/>
        <v/>
      </c>
    </row>
    <row r="646" spans="5:5" x14ac:dyDescent="0.25">
      <c r="E646" s="3" t="str">
        <f t="shared" si="10"/>
        <v/>
      </c>
    </row>
    <row r="647" spans="5:5" x14ac:dyDescent="0.25">
      <c r="E647" s="3" t="str">
        <f t="shared" si="10"/>
        <v/>
      </c>
    </row>
    <row r="648" spans="5:5" x14ac:dyDescent="0.25">
      <c r="E648" s="3" t="str">
        <f t="shared" si="10"/>
        <v/>
      </c>
    </row>
    <row r="649" spans="5:5" x14ac:dyDescent="0.25">
      <c r="E649" s="3" t="str">
        <f t="shared" si="10"/>
        <v/>
      </c>
    </row>
    <row r="650" spans="5:5" x14ac:dyDescent="0.25">
      <c r="E650" s="3" t="str">
        <f t="shared" si="10"/>
        <v/>
      </c>
    </row>
    <row r="651" spans="5:5" x14ac:dyDescent="0.25">
      <c r="E651" s="3" t="str">
        <f t="shared" si="10"/>
        <v/>
      </c>
    </row>
    <row r="652" spans="5:5" x14ac:dyDescent="0.25">
      <c r="E652" s="3" t="str">
        <f t="shared" si="10"/>
        <v/>
      </c>
    </row>
    <row r="653" spans="5:5" x14ac:dyDescent="0.25">
      <c r="E653" s="3" t="str">
        <f t="shared" si="10"/>
        <v/>
      </c>
    </row>
    <row r="654" spans="5:5" x14ac:dyDescent="0.25">
      <c r="E654" s="3" t="str">
        <f t="shared" si="10"/>
        <v/>
      </c>
    </row>
    <row r="655" spans="5:5" x14ac:dyDescent="0.25">
      <c r="E655" s="3" t="str">
        <f t="shared" si="10"/>
        <v/>
      </c>
    </row>
    <row r="656" spans="5:5" x14ac:dyDescent="0.25">
      <c r="E656" s="3" t="str">
        <f t="shared" si="10"/>
        <v/>
      </c>
    </row>
    <row r="657" spans="5:5" x14ac:dyDescent="0.25">
      <c r="E657" s="3" t="str">
        <f t="shared" si="10"/>
        <v/>
      </c>
    </row>
    <row r="658" spans="5:5" x14ac:dyDescent="0.25">
      <c r="E658" s="3" t="str">
        <f t="shared" si="10"/>
        <v/>
      </c>
    </row>
    <row r="659" spans="5:5" x14ac:dyDescent="0.25">
      <c r="E659" s="3" t="str">
        <f t="shared" si="10"/>
        <v/>
      </c>
    </row>
    <row r="660" spans="5:5" x14ac:dyDescent="0.25">
      <c r="E660" s="3" t="str">
        <f t="shared" si="10"/>
        <v/>
      </c>
    </row>
    <row r="661" spans="5:5" x14ac:dyDescent="0.25">
      <c r="E661" s="3" t="str">
        <f t="shared" si="10"/>
        <v/>
      </c>
    </row>
    <row r="662" spans="5:5" x14ac:dyDescent="0.25">
      <c r="E662" s="3" t="str">
        <f t="shared" si="10"/>
        <v/>
      </c>
    </row>
    <row r="663" spans="5:5" x14ac:dyDescent="0.25">
      <c r="E663" s="3" t="str">
        <f t="shared" si="10"/>
        <v/>
      </c>
    </row>
    <row r="664" spans="5:5" x14ac:dyDescent="0.25">
      <c r="E664" s="3" t="str">
        <f t="shared" si="10"/>
        <v/>
      </c>
    </row>
    <row r="665" spans="5:5" x14ac:dyDescent="0.25">
      <c r="E665" s="3" t="str">
        <f t="shared" si="10"/>
        <v/>
      </c>
    </row>
    <row r="666" spans="5:5" x14ac:dyDescent="0.25">
      <c r="E666" s="3" t="str">
        <f t="shared" si="10"/>
        <v/>
      </c>
    </row>
    <row r="667" spans="5:5" x14ac:dyDescent="0.25">
      <c r="E667" s="3" t="str">
        <f t="shared" si="10"/>
        <v/>
      </c>
    </row>
    <row r="668" spans="5:5" x14ac:dyDescent="0.25">
      <c r="E668" s="3" t="str">
        <f t="shared" si="10"/>
        <v/>
      </c>
    </row>
    <row r="669" spans="5:5" x14ac:dyDescent="0.25">
      <c r="E669" s="3" t="str">
        <f t="shared" si="10"/>
        <v/>
      </c>
    </row>
    <row r="670" spans="5:5" x14ac:dyDescent="0.25">
      <c r="E670" s="3" t="str">
        <f t="shared" si="10"/>
        <v/>
      </c>
    </row>
    <row r="671" spans="5:5" x14ac:dyDescent="0.25">
      <c r="E671" s="3" t="str">
        <f t="shared" si="10"/>
        <v/>
      </c>
    </row>
    <row r="672" spans="5:5" x14ac:dyDescent="0.25">
      <c r="E672" s="3" t="str">
        <f t="shared" si="10"/>
        <v/>
      </c>
    </row>
    <row r="673" spans="5:5" x14ac:dyDescent="0.25">
      <c r="E673" s="3" t="str">
        <f t="shared" si="10"/>
        <v/>
      </c>
    </row>
    <row r="674" spans="5:5" x14ac:dyDescent="0.25">
      <c r="E674" s="3" t="str">
        <f t="shared" si="10"/>
        <v/>
      </c>
    </row>
    <row r="675" spans="5:5" x14ac:dyDescent="0.25">
      <c r="E675" s="3" t="str">
        <f t="shared" si="10"/>
        <v/>
      </c>
    </row>
    <row r="676" spans="5:5" x14ac:dyDescent="0.25">
      <c r="E676" s="3" t="str">
        <f t="shared" si="10"/>
        <v/>
      </c>
    </row>
    <row r="677" spans="5:5" x14ac:dyDescent="0.25">
      <c r="E677" s="3" t="str">
        <f t="shared" si="10"/>
        <v/>
      </c>
    </row>
    <row r="678" spans="5:5" x14ac:dyDescent="0.25">
      <c r="E678" s="3" t="str">
        <f t="shared" si="10"/>
        <v/>
      </c>
    </row>
    <row r="679" spans="5:5" x14ac:dyDescent="0.25">
      <c r="E679" s="3" t="str">
        <f t="shared" si="10"/>
        <v/>
      </c>
    </row>
    <row r="680" spans="5:5" x14ac:dyDescent="0.25">
      <c r="E680" s="3" t="str">
        <f t="shared" si="10"/>
        <v/>
      </c>
    </row>
    <row r="681" spans="5:5" x14ac:dyDescent="0.25">
      <c r="E681" s="3" t="str">
        <f t="shared" si="10"/>
        <v/>
      </c>
    </row>
    <row r="682" spans="5:5" x14ac:dyDescent="0.25">
      <c r="E682" s="3" t="str">
        <f t="shared" si="10"/>
        <v/>
      </c>
    </row>
    <row r="683" spans="5:5" x14ac:dyDescent="0.25">
      <c r="E683" s="3" t="str">
        <f t="shared" si="10"/>
        <v/>
      </c>
    </row>
    <row r="684" spans="5:5" x14ac:dyDescent="0.25">
      <c r="E684" s="3" t="str">
        <f t="shared" si="10"/>
        <v/>
      </c>
    </row>
    <row r="685" spans="5:5" x14ac:dyDescent="0.25">
      <c r="E685" s="3" t="str">
        <f t="shared" si="10"/>
        <v/>
      </c>
    </row>
    <row r="686" spans="5:5" x14ac:dyDescent="0.25">
      <c r="E686" s="3" t="str">
        <f t="shared" si="10"/>
        <v/>
      </c>
    </row>
    <row r="687" spans="5:5" x14ac:dyDescent="0.25">
      <c r="E687" s="3" t="str">
        <f t="shared" si="10"/>
        <v/>
      </c>
    </row>
    <row r="688" spans="5:5" x14ac:dyDescent="0.25">
      <c r="E688" s="3" t="str">
        <f t="shared" si="10"/>
        <v/>
      </c>
    </row>
    <row r="689" spans="5:5" x14ac:dyDescent="0.25">
      <c r="E689" s="3" t="str">
        <f t="shared" si="10"/>
        <v/>
      </c>
    </row>
    <row r="690" spans="5:5" x14ac:dyDescent="0.25">
      <c r="E690" s="3" t="str">
        <f t="shared" si="10"/>
        <v/>
      </c>
    </row>
    <row r="691" spans="5:5" x14ac:dyDescent="0.25">
      <c r="E691" s="3" t="str">
        <f t="shared" si="10"/>
        <v/>
      </c>
    </row>
    <row r="692" spans="5:5" x14ac:dyDescent="0.25">
      <c r="E692" s="3" t="str">
        <f t="shared" si="10"/>
        <v/>
      </c>
    </row>
    <row r="693" spans="5:5" x14ac:dyDescent="0.25">
      <c r="E693" s="3" t="str">
        <f t="shared" si="10"/>
        <v/>
      </c>
    </row>
    <row r="694" spans="5:5" x14ac:dyDescent="0.25">
      <c r="E694" s="3" t="str">
        <f t="shared" si="10"/>
        <v/>
      </c>
    </row>
    <row r="695" spans="5:5" x14ac:dyDescent="0.25">
      <c r="E695" s="3" t="str">
        <f t="shared" si="10"/>
        <v/>
      </c>
    </row>
    <row r="696" spans="5:5" x14ac:dyDescent="0.25">
      <c r="E696" s="3" t="str">
        <f t="shared" si="10"/>
        <v/>
      </c>
    </row>
    <row r="697" spans="5:5" x14ac:dyDescent="0.25">
      <c r="E697" s="3" t="str">
        <f t="shared" si="10"/>
        <v/>
      </c>
    </row>
    <row r="698" spans="5:5" x14ac:dyDescent="0.25">
      <c r="E698" s="3" t="str">
        <f t="shared" si="10"/>
        <v/>
      </c>
    </row>
    <row r="699" spans="5:5" x14ac:dyDescent="0.25">
      <c r="E699" s="3" t="str">
        <f t="shared" si="10"/>
        <v/>
      </c>
    </row>
    <row r="700" spans="5:5" x14ac:dyDescent="0.25">
      <c r="E700" s="3" t="str">
        <f t="shared" si="10"/>
        <v/>
      </c>
    </row>
    <row r="701" spans="5:5" x14ac:dyDescent="0.25">
      <c r="E701" s="3" t="str">
        <f t="shared" si="10"/>
        <v/>
      </c>
    </row>
    <row r="702" spans="5:5" x14ac:dyDescent="0.25">
      <c r="E702" s="3" t="str">
        <f t="shared" si="10"/>
        <v/>
      </c>
    </row>
    <row r="703" spans="5:5" x14ac:dyDescent="0.25">
      <c r="E703" s="3" t="str">
        <f t="shared" si="10"/>
        <v/>
      </c>
    </row>
    <row r="704" spans="5:5" x14ac:dyDescent="0.25">
      <c r="E704" s="3" t="str">
        <f t="shared" si="10"/>
        <v/>
      </c>
    </row>
    <row r="705" spans="5:5" x14ac:dyDescent="0.25">
      <c r="E705" s="3" t="str">
        <f t="shared" si="10"/>
        <v/>
      </c>
    </row>
    <row r="706" spans="5:5" x14ac:dyDescent="0.25">
      <c r="E706" s="3" t="str">
        <f t="shared" si="10"/>
        <v/>
      </c>
    </row>
    <row r="707" spans="5:5" x14ac:dyDescent="0.25">
      <c r="E707" s="3" t="str">
        <f t="shared" ref="E707:E770" si="11">IF(COUNTIF(C$3:C$5000,C707)&gt;1,"DUPLICADO","")</f>
        <v/>
      </c>
    </row>
    <row r="708" spans="5:5" x14ac:dyDescent="0.25">
      <c r="E708" s="3" t="str">
        <f t="shared" si="11"/>
        <v/>
      </c>
    </row>
    <row r="709" spans="5:5" x14ac:dyDescent="0.25">
      <c r="E709" s="3" t="str">
        <f t="shared" si="11"/>
        <v/>
      </c>
    </row>
    <row r="710" spans="5:5" x14ac:dyDescent="0.25">
      <c r="E710" s="3" t="str">
        <f t="shared" si="11"/>
        <v/>
      </c>
    </row>
    <row r="711" spans="5:5" x14ac:dyDescent="0.25">
      <c r="E711" s="3" t="str">
        <f t="shared" si="11"/>
        <v/>
      </c>
    </row>
    <row r="712" spans="5:5" x14ac:dyDescent="0.25">
      <c r="E712" s="3" t="str">
        <f t="shared" si="11"/>
        <v/>
      </c>
    </row>
    <row r="713" spans="5:5" x14ac:dyDescent="0.25">
      <c r="E713" s="3" t="str">
        <f t="shared" si="11"/>
        <v/>
      </c>
    </row>
    <row r="714" spans="5:5" x14ac:dyDescent="0.25">
      <c r="E714" s="3" t="str">
        <f t="shared" si="11"/>
        <v/>
      </c>
    </row>
    <row r="715" spans="5:5" x14ac:dyDescent="0.25">
      <c r="E715" s="3" t="str">
        <f t="shared" si="11"/>
        <v/>
      </c>
    </row>
    <row r="716" spans="5:5" x14ac:dyDescent="0.25">
      <c r="E716" s="3" t="str">
        <f t="shared" si="11"/>
        <v/>
      </c>
    </row>
    <row r="717" spans="5:5" x14ac:dyDescent="0.25">
      <c r="E717" s="3" t="str">
        <f t="shared" si="11"/>
        <v/>
      </c>
    </row>
    <row r="718" spans="5:5" x14ac:dyDescent="0.25">
      <c r="E718" s="3" t="str">
        <f t="shared" si="11"/>
        <v/>
      </c>
    </row>
    <row r="719" spans="5:5" x14ac:dyDescent="0.25">
      <c r="E719" s="3" t="str">
        <f t="shared" si="11"/>
        <v/>
      </c>
    </row>
    <row r="720" spans="5:5" x14ac:dyDescent="0.25">
      <c r="E720" s="3" t="str">
        <f t="shared" si="11"/>
        <v/>
      </c>
    </row>
    <row r="721" spans="5:5" x14ac:dyDescent="0.25">
      <c r="E721" s="3" t="str">
        <f t="shared" si="11"/>
        <v/>
      </c>
    </row>
    <row r="722" spans="5:5" x14ac:dyDescent="0.25">
      <c r="E722" s="3" t="str">
        <f t="shared" si="11"/>
        <v/>
      </c>
    </row>
    <row r="723" spans="5:5" x14ac:dyDescent="0.25">
      <c r="E723" s="3" t="str">
        <f t="shared" si="11"/>
        <v/>
      </c>
    </row>
    <row r="724" spans="5:5" x14ac:dyDescent="0.25">
      <c r="E724" s="3" t="str">
        <f t="shared" si="11"/>
        <v/>
      </c>
    </row>
    <row r="725" spans="5:5" x14ac:dyDescent="0.25">
      <c r="E725" s="3" t="str">
        <f t="shared" si="11"/>
        <v/>
      </c>
    </row>
    <row r="726" spans="5:5" x14ac:dyDescent="0.25">
      <c r="E726" s="3" t="str">
        <f t="shared" si="11"/>
        <v/>
      </c>
    </row>
    <row r="727" spans="5:5" x14ac:dyDescent="0.25">
      <c r="E727" s="3" t="str">
        <f t="shared" si="11"/>
        <v/>
      </c>
    </row>
    <row r="728" spans="5:5" x14ac:dyDescent="0.25">
      <c r="E728" s="3" t="str">
        <f t="shared" si="11"/>
        <v/>
      </c>
    </row>
    <row r="729" spans="5:5" x14ac:dyDescent="0.25">
      <c r="E729" s="3" t="str">
        <f t="shared" si="11"/>
        <v/>
      </c>
    </row>
    <row r="730" spans="5:5" x14ac:dyDescent="0.25">
      <c r="E730" s="3" t="str">
        <f t="shared" si="11"/>
        <v/>
      </c>
    </row>
    <row r="731" spans="5:5" x14ac:dyDescent="0.25">
      <c r="E731" s="3" t="str">
        <f t="shared" si="11"/>
        <v/>
      </c>
    </row>
    <row r="732" spans="5:5" x14ac:dyDescent="0.25">
      <c r="E732" s="3" t="str">
        <f t="shared" si="11"/>
        <v/>
      </c>
    </row>
    <row r="733" spans="5:5" x14ac:dyDescent="0.25">
      <c r="E733" s="3" t="str">
        <f t="shared" si="11"/>
        <v/>
      </c>
    </row>
    <row r="734" spans="5:5" x14ac:dyDescent="0.25">
      <c r="E734" s="3" t="str">
        <f t="shared" si="11"/>
        <v/>
      </c>
    </row>
    <row r="735" spans="5:5" x14ac:dyDescent="0.25">
      <c r="E735" s="3" t="str">
        <f t="shared" si="11"/>
        <v/>
      </c>
    </row>
    <row r="736" spans="5:5" x14ac:dyDescent="0.25">
      <c r="E736" s="3" t="str">
        <f t="shared" si="11"/>
        <v/>
      </c>
    </row>
    <row r="737" spans="5:5" x14ac:dyDescent="0.25">
      <c r="E737" s="3" t="str">
        <f t="shared" si="11"/>
        <v/>
      </c>
    </row>
    <row r="738" spans="5:5" x14ac:dyDescent="0.25">
      <c r="E738" s="3" t="str">
        <f t="shared" si="11"/>
        <v/>
      </c>
    </row>
    <row r="739" spans="5:5" x14ac:dyDescent="0.25">
      <c r="E739" s="3" t="str">
        <f t="shared" si="11"/>
        <v/>
      </c>
    </row>
    <row r="740" spans="5:5" x14ac:dyDescent="0.25">
      <c r="E740" s="3" t="str">
        <f t="shared" si="11"/>
        <v/>
      </c>
    </row>
    <row r="741" spans="5:5" x14ac:dyDescent="0.25">
      <c r="E741" s="3" t="str">
        <f t="shared" si="11"/>
        <v/>
      </c>
    </row>
    <row r="742" spans="5:5" x14ac:dyDescent="0.25">
      <c r="E742" s="3" t="str">
        <f t="shared" si="11"/>
        <v/>
      </c>
    </row>
    <row r="743" spans="5:5" x14ac:dyDescent="0.25">
      <c r="E743" s="3" t="str">
        <f t="shared" si="11"/>
        <v/>
      </c>
    </row>
    <row r="744" spans="5:5" x14ac:dyDescent="0.25">
      <c r="E744" s="3" t="str">
        <f t="shared" si="11"/>
        <v/>
      </c>
    </row>
    <row r="745" spans="5:5" x14ac:dyDescent="0.25">
      <c r="E745" s="3" t="str">
        <f t="shared" si="11"/>
        <v/>
      </c>
    </row>
    <row r="746" spans="5:5" x14ac:dyDescent="0.25">
      <c r="E746" s="3" t="str">
        <f t="shared" si="11"/>
        <v/>
      </c>
    </row>
    <row r="747" spans="5:5" x14ac:dyDescent="0.25">
      <c r="E747" s="3" t="str">
        <f t="shared" si="11"/>
        <v/>
      </c>
    </row>
    <row r="748" spans="5:5" x14ac:dyDescent="0.25">
      <c r="E748" s="3" t="str">
        <f t="shared" si="11"/>
        <v/>
      </c>
    </row>
    <row r="749" spans="5:5" x14ac:dyDescent="0.25">
      <c r="E749" s="3" t="str">
        <f t="shared" si="11"/>
        <v/>
      </c>
    </row>
    <row r="750" spans="5:5" x14ac:dyDescent="0.25">
      <c r="E750" s="3" t="str">
        <f t="shared" si="11"/>
        <v/>
      </c>
    </row>
    <row r="751" spans="5:5" x14ac:dyDescent="0.25">
      <c r="E751" s="3" t="str">
        <f t="shared" si="11"/>
        <v/>
      </c>
    </row>
    <row r="752" spans="5:5" x14ac:dyDescent="0.25">
      <c r="E752" s="3" t="str">
        <f t="shared" si="11"/>
        <v/>
      </c>
    </row>
    <row r="753" spans="5:5" x14ac:dyDescent="0.25">
      <c r="E753" s="3" t="str">
        <f t="shared" si="11"/>
        <v/>
      </c>
    </row>
    <row r="754" spans="5:5" x14ac:dyDescent="0.25">
      <c r="E754" s="3" t="str">
        <f t="shared" si="11"/>
        <v/>
      </c>
    </row>
    <row r="755" spans="5:5" x14ac:dyDescent="0.25">
      <c r="E755" s="3" t="str">
        <f t="shared" si="11"/>
        <v/>
      </c>
    </row>
    <row r="756" spans="5:5" x14ac:dyDescent="0.25">
      <c r="E756" s="3" t="str">
        <f t="shared" si="11"/>
        <v/>
      </c>
    </row>
    <row r="757" spans="5:5" x14ac:dyDescent="0.25">
      <c r="E757" s="3" t="str">
        <f t="shared" si="11"/>
        <v/>
      </c>
    </row>
    <row r="758" spans="5:5" x14ac:dyDescent="0.25">
      <c r="E758" s="3" t="str">
        <f t="shared" si="11"/>
        <v/>
      </c>
    </row>
    <row r="759" spans="5:5" x14ac:dyDescent="0.25">
      <c r="E759" s="3" t="str">
        <f t="shared" si="11"/>
        <v/>
      </c>
    </row>
    <row r="760" spans="5:5" x14ac:dyDescent="0.25">
      <c r="E760" s="3" t="str">
        <f t="shared" si="11"/>
        <v/>
      </c>
    </row>
    <row r="761" spans="5:5" x14ac:dyDescent="0.25">
      <c r="E761" s="3" t="str">
        <f t="shared" si="11"/>
        <v/>
      </c>
    </row>
    <row r="762" spans="5:5" x14ac:dyDescent="0.25">
      <c r="E762" s="3" t="str">
        <f t="shared" si="11"/>
        <v/>
      </c>
    </row>
    <row r="763" spans="5:5" x14ac:dyDescent="0.25">
      <c r="E763" s="3" t="str">
        <f t="shared" si="11"/>
        <v/>
      </c>
    </row>
    <row r="764" spans="5:5" x14ac:dyDescent="0.25">
      <c r="E764" s="3" t="str">
        <f t="shared" si="11"/>
        <v/>
      </c>
    </row>
    <row r="765" spans="5:5" x14ac:dyDescent="0.25">
      <c r="E765" s="3" t="str">
        <f t="shared" si="11"/>
        <v/>
      </c>
    </row>
    <row r="766" spans="5:5" x14ac:dyDescent="0.25">
      <c r="E766" s="3" t="str">
        <f t="shared" si="11"/>
        <v/>
      </c>
    </row>
    <row r="767" spans="5:5" x14ac:dyDescent="0.25">
      <c r="E767" s="3" t="str">
        <f t="shared" si="11"/>
        <v/>
      </c>
    </row>
    <row r="768" spans="5:5" x14ac:dyDescent="0.25">
      <c r="E768" s="3" t="str">
        <f t="shared" si="11"/>
        <v/>
      </c>
    </row>
    <row r="769" spans="5:5" x14ac:dyDescent="0.25">
      <c r="E769" s="3" t="str">
        <f t="shared" si="11"/>
        <v/>
      </c>
    </row>
    <row r="770" spans="5:5" x14ac:dyDescent="0.25">
      <c r="E770" s="3" t="str">
        <f t="shared" si="11"/>
        <v/>
      </c>
    </row>
    <row r="771" spans="5:5" x14ac:dyDescent="0.25">
      <c r="E771" s="3" t="str">
        <f t="shared" ref="E771:E834" si="12">IF(COUNTIF(C$3:C$5000,C771)&gt;1,"DUPLICADO","")</f>
        <v/>
      </c>
    </row>
    <row r="772" spans="5:5" x14ac:dyDescent="0.25">
      <c r="E772" s="3" t="str">
        <f t="shared" si="12"/>
        <v/>
      </c>
    </row>
    <row r="773" spans="5:5" x14ac:dyDescent="0.25">
      <c r="E773" s="3" t="str">
        <f t="shared" si="12"/>
        <v/>
      </c>
    </row>
    <row r="774" spans="5:5" x14ac:dyDescent="0.25">
      <c r="E774" s="3" t="str">
        <f t="shared" si="12"/>
        <v/>
      </c>
    </row>
    <row r="775" spans="5:5" x14ac:dyDescent="0.25">
      <c r="E775" s="3" t="str">
        <f t="shared" si="12"/>
        <v/>
      </c>
    </row>
    <row r="776" spans="5:5" x14ac:dyDescent="0.25">
      <c r="E776" s="3" t="str">
        <f t="shared" si="12"/>
        <v/>
      </c>
    </row>
    <row r="777" spans="5:5" x14ac:dyDescent="0.25">
      <c r="E777" s="3" t="str">
        <f t="shared" si="12"/>
        <v/>
      </c>
    </row>
    <row r="778" spans="5:5" x14ac:dyDescent="0.25">
      <c r="E778" s="3" t="str">
        <f t="shared" si="12"/>
        <v/>
      </c>
    </row>
    <row r="779" spans="5:5" x14ac:dyDescent="0.25">
      <c r="E779" s="3" t="str">
        <f t="shared" si="12"/>
        <v/>
      </c>
    </row>
    <row r="780" spans="5:5" x14ac:dyDescent="0.25">
      <c r="E780" s="3" t="str">
        <f t="shared" si="12"/>
        <v/>
      </c>
    </row>
    <row r="781" spans="5:5" x14ac:dyDescent="0.25">
      <c r="E781" s="3" t="str">
        <f t="shared" si="12"/>
        <v/>
      </c>
    </row>
    <row r="782" spans="5:5" x14ac:dyDescent="0.25">
      <c r="E782" s="3" t="str">
        <f t="shared" si="12"/>
        <v/>
      </c>
    </row>
    <row r="783" spans="5:5" x14ac:dyDescent="0.25">
      <c r="E783" s="3" t="str">
        <f t="shared" si="12"/>
        <v/>
      </c>
    </row>
    <row r="784" spans="5:5" x14ac:dyDescent="0.25">
      <c r="E784" s="3" t="str">
        <f t="shared" si="12"/>
        <v/>
      </c>
    </row>
    <row r="785" spans="5:5" x14ac:dyDescent="0.25">
      <c r="E785" s="3" t="str">
        <f t="shared" si="12"/>
        <v/>
      </c>
    </row>
    <row r="786" spans="5:5" x14ac:dyDescent="0.25">
      <c r="E786" s="3" t="str">
        <f t="shared" si="12"/>
        <v/>
      </c>
    </row>
    <row r="787" spans="5:5" x14ac:dyDescent="0.25">
      <c r="E787" s="3" t="str">
        <f t="shared" si="12"/>
        <v/>
      </c>
    </row>
    <row r="788" spans="5:5" x14ac:dyDescent="0.25">
      <c r="E788" s="3" t="str">
        <f t="shared" si="12"/>
        <v/>
      </c>
    </row>
    <row r="789" spans="5:5" x14ac:dyDescent="0.25">
      <c r="E789" s="3" t="str">
        <f t="shared" si="12"/>
        <v/>
      </c>
    </row>
    <row r="790" spans="5:5" x14ac:dyDescent="0.25">
      <c r="E790" s="3" t="str">
        <f t="shared" si="12"/>
        <v/>
      </c>
    </row>
    <row r="791" spans="5:5" x14ac:dyDescent="0.25">
      <c r="E791" s="3" t="str">
        <f t="shared" si="12"/>
        <v/>
      </c>
    </row>
    <row r="792" spans="5:5" x14ac:dyDescent="0.25">
      <c r="E792" s="3" t="str">
        <f t="shared" si="12"/>
        <v/>
      </c>
    </row>
    <row r="793" spans="5:5" x14ac:dyDescent="0.25">
      <c r="E793" s="3" t="str">
        <f t="shared" si="12"/>
        <v/>
      </c>
    </row>
    <row r="794" spans="5:5" x14ac:dyDescent="0.25">
      <c r="E794" s="3" t="str">
        <f t="shared" si="12"/>
        <v/>
      </c>
    </row>
    <row r="795" spans="5:5" x14ac:dyDescent="0.25">
      <c r="E795" s="3" t="str">
        <f t="shared" si="12"/>
        <v/>
      </c>
    </row>
    <row r="796" spans="5:5" x14ac:dyDescent="0.25">
      <c r="E796" s="3" t="str">
        <f t="shared" si="12"/>
        <v/>
      </c>
    </row>
    <row r="797" spans="5:5" x14ac:dyDescent="0.25">
      <c r="E797" s="3" t="str">
        <f t="shared" si="12"/>
        <v/>
      </c>
    </row>
    <row r="798" spans="5:5" x14ac:dyDescent="0.25">
      <c r="E798" s="3" t="str">
        <f t="shared" si="12"/>
        <v/>
      </c>
    </row>
    <row r="799" spans="5:5" x14ac:dyDescent="0.25">
      <c r="E799" s="3" t="str">
        <f t="shared" si="12"/>
        <v/>
      </c>
    </row>
    <row r="800" spans="5:5" x14ac:dyDescent="0.25">
      <c r="E800" s="3" t="str">
        <f t="shared" si="12"/>
        <v/>
      </c>
    </row>
    <row r="801" spans="5:5" x14ac:dyDescent="0.25">
      <c r="E801" s="3" t="str">
        <f t="shared" si="12"/>
        <v/>
      </c>
    </row>
    <row r="802" spans="5:5" x14ac:dyDescent="0.25">
      <c r="E802" s="3" t="str">
        <f t="shared" si="12"/>
        <v/>
      </c>
    </row>
    <row r="803" spans="5:5" x14ac:dyDescent="0.25">
      <c r="E803" s="3" t="str">
        <f t="shared" si="12"/>
        <v/>
      </c>
    </row>
    <row r="804" spans="5:5" x14ac:dyDescent="0.25">
      <c r="E804" s="3" t="str">
        <f t="shared" si="12"/>
        <v/>
      </c>
    </row>
    <row r="805" spans="5:5" x14ac:dyDescent="0.25">
      <c r="E805" s="3" t="str">
        <f t="shared" si="12"/>
        <v/>
      </c>
    </row>
    <row r="806" spans="5:5" x14ac:dyDescent="0.25">
      <c r="E806" s="3" t="str">
        <f t="shared" si="12"/>
        <v/>
      </c>
    </row>
    <row r="807" spans="5:5" x14ac:dyDescent="0.25">
      <c r="E807" s="3" t="str">
        <f t="shared" si="12"/>
        <v/>
      </c>
    </row>
    <row r="808" spans="5:5" x14ac:dyDescent="0.25">
      <c r="E808" s="3" t="str">
        <f t="shared" si="12"/>
        <v/>
      </c>
    </row>
    <row r="809" spans="5:5" x14ac:dyDescent="0.25">
      <c r="E809" s="3" t="str">
        <f t="shared" si="12"/>
        <v/>
      </c>
    </row>
    <row r="810" spans="5:5" x14ac:dyDescent="0.25">
      <c r="E810" s="3" t="str">
        <f t="shared" si="12"/>
        <v/>
      </c>
    </row>
    <row r="811" spans="5:5" x14ac:dyDescent="0.25">
      <c r="E811" s="3" t="str">
        <f t="shared" si="12"/>
        <v/>
      </c>
    </row>
    <row r="812" spans="5:5" x14ac:dyDescent="0.25">
      <c r="E812" s="3" t="str">
        <f t="shared" si="12"/>
        <v/>
      </c>
    </row>
    <row r="813" spans="5:5" x14ac:dyDescent="0.25">
      <c r="E813" s="3" t="str">
        <f t="shared" si="12"/>
        <v/>
      </c>
    </row>
    <row r="814" spans="5:5" x14ac:dyDescent="0.25">
      <c r="E814" s="3" t="str">
        <f t="shared" si="12"/>
        <v/>
      </c>
    </row>
    <row r="815" spans="5:5" x14ac:dyDescent="0.25">
      <c r="E815" s="3" t="str">
        <f t="shared" si="12"/>
        <v/>
      </c>
    </row>
    <row r="816" spans="5:5" x14ac:dyDescent="0.25">
      <c r="E816" s="3" t="str">
        <f t="shared" si="12"/>
        <v/>
      </c>
    </row>
    <row r="817" spans="5:5" x14ac:dyDescent="0.25">
      <c r="E817" s="3" t="str">
        <f t="shared" si="12"/>
        <v/>
      </c>
    </row>
    <row r="818" spans="5:5" x14ac:dyDescent="0.25">
      <c r="E818" s="3" t="str">
        <f t="shared" si="12"/>
        <v/>
      </c>
    </row>
    <row r="819" spans="5:5" x14ac:dyDescent="0.25">
      <c r="E819" s="3" t="str">
        <f t="shared" si="12"/>
        <v/>
      </c>
    </row>
    <row r="820" spans="5:5" x14ac:dyDescent="0.25">
      <c r="E820" s="3" t="str">
        <f t="shared" si="12"/>
        <v/>
      </c>
    </row>
    <row r="821" spans="5:5" x14ac:dyDescent="0.25">
      <c r="E821" s="3" t="str">
        <f t="shared" si="12"/>
        <v/>
      </c>
    </row>
    <row r="822" spans="5:5" x14ac:dyDescent="0.25">
      <c r="E822" s="3" t="str">
        <f t="shared" si="12"/>
        <v/>
      </c>
    </row>
    <row r="823" spans="5:5" x14ac:dyDescent="0.25">
      <c r="E823" s="3" t="str">
        <f t="shared" si="12"/>
        <v/>
      </c>
    </row>
    <row r="824" spans="5:5" x14ac:dyDescent="0.25">
      <c r="E824" s="3" t="str">
        <f t="shared" si="12"/>
        <v/>
      </c>
    </row>
    <row r="825" spans="5:5" x14ac:dyDescent="0.25">
      <c r="E825" s="3" t="str">
        <f t="shared" si="12"/>
        <v/>
      </c>
    </row>
    <row r="826" spans="5:5" x14ac:dyDescent="0.25">
      <c r="E826" s="3" t="str">
        <f t="shared" si="12"/>
        <v/>
      </c>
    </row>
    <row r="827" spans="5:5" x14ac:dyDescent="0.25">
      <c r="E827" s="3" t="str">
        <f t="shared" si="12"/>
        <v/>
      </c>
    </row>
    <row r="828" spans="5:5" x14ac:dyDescent="0.25">
      <c r="E828" s="3" t="str">
        <f t="shared" si="12"/>
        <v/>
      </c>
    </row>
    <row r="829" spans="5:5" x14ac:dyDescent="0.25">
      <c r="E829" s="3" t="str">
        <f t="shared" si="12"/>
        <v/>
      </c>
    </row>
    <row r="830" spans="5:5" x14ac:dyDescent="0.25">
      <c r="E830" s="3" t="str">
        <f t="shared" si="12"/>
        <v/>
      </c>
    </row>
    <row r="831" spans="5:5" x14ac:dyDescent="0.25">
      <c r="E831" s="3" t="str">
        <f t="shared" si="12"/>
        <v/>
      </c>
    </row>
    <row r="832" spans="5:5" x14ac:dyDescent="0.25">
      <c r="E832" s="3" t="str">
        <f t="shared" si="12"/>
        <v/>
      </c>
    </row>
    <row r="833" spans="5:5" x14ac:dyDescent="0.25">
      <c r="E833" s="3" t="str">
        <f t="shared" si="12"/>
        <v/>
      </c>
    </row>
    <row r="834" spans="5:5" x14ac:dyDescent="0.25">
      <c r="E834" s="3" t="str">
        <f t="shared" si="12"/>
        <v/>
      </c>
    </row>
    <row r="835" spans="5:5" x14ac:dyDescent="0.25">
      <c r="E835" s="3" t="str">
        <f t="shared" ref="E835:E898" si="13">IF(COUNTIF(C$3:C$5000,C835)&gt;1,"DUPLICADO","")</f>
        <v/>
      </c>
    </row>
    <row r="836" spans="5:5" x14ac:dyDescent="0.25">
      <c r="E836" s="3" t="str">
        <f t="shared" si="13"/>
        <v/>
      </c>
    </row>
    <row r="837" spans="5:5" x14ac:dyDescent="0.25">
      <c r="E837" s="3" t="str">
        <f t="shared" si="13"/>
        <v/>
      </c>
    </row>
    <row r="838" spans="5:5" x14ac:dyDescent="0.25">
      <c r="E838" s="3" t="str">
        <f t="shared" si="13"/>
        <v/>
      </c>
    </row>
    <row r="839" spans="5:5" x14ac:dyDescent="0.25">
      <c r="E839" s="3" t="str">
        <f t="shared" si="13"/>
        <v/>
      </c>
    </row>
    <row r="840" spans="5:5" x14ac:dyDescent="0.25">
      <c r="E840" s="3" t="str">
        <f t="shared" si="13"/>
        <v/>
      </c>
    </row>
    <row r="841" spans="5:5" x14ac:dyDescent="0.25">
      <c r="E841" s="3" t="str">
        <f t="shared" si="13"/>
        <v/>
      </c>
    </row>
    <row r="842" spans="5:5" x14ac:dyDescent="0.25">
      <c r="E842" s="3" t="str">
        <f t="shared" si="13"/>
        <v/>
      </c>
    </row>
    <row r="843" spans="5:5" x14ac:dyDescent="0.25">
      <c r="E843" s="3" t="str">
        <f t="shared" si="13"/>
        <v/>
      </c>
    </row>
    <row r="844" spans="5:5" x14ac:dyDescent="0.25">
      <c r="E844" s="3" t="str">
        <f t="shared" si="13"/>
        <v/>
      </c>
    </row>
    <row r="845" spans="5:5" x14ac:dyDescent="0.25">
      <c r="E845" s="3" t="str">
        <f t="shared" si="13"/>
        <v/>
      </c>
    </row>
    <row r="846" spans="5:5" x14ac:dyDescent="0.25">
      <c r="E846" s="3" t="str">
        <f t="shared" si="13"/>
        <v/>
      </c>
    </row>
    <row r="847" spans="5:5" x14ac:dyDescent="0.25">
      <c r="E847" s="3" t="str">
        <f t="shared" si="13"/>
        <v/>
      </c>
    </row>
    <row r="848" spans="5:5" x14ac:dyDescent="0.25">
      <c r="E848" s="3" t="str">
        <f t="shared" si="13"/>
        <v/>
      </c>
    </row>
    <row r="849" spans="5:5" x14ac:dyDescent="0.25">
      <c r="E849" s="3" t="str">
        <f t="shared" si="13"/>
        <v/>
      </c>
    </row>
    <row r="850" spans="5:5" x14ac:dyDescent="0.25">
      <c r="E850" s="3" t="str">
        <f t="shared" si="13"/>
        <v/>
      </c>
    </row>
    <row r="851" spans="5:5" x14ac:dyDescent="0.25">
      <c r="E851" s="3" t="str">
        <f t="shared" si="13"/>
        <v/>
      </c>
    </row>
    <row r="852" spans="5:5" x14ac:dyDescent="0.25">
      <c r="E852" s="3" t="str">
        <f t="shared" si="13"/>
        <v/>
      </c>
    </row>
    <row r="853" spans="5:5" x14ac:dyDescent="0.25">
      <c r="E853" s="3" t="str">
        <f t="shared" si="13"/>
        <v/>
      </c>
    </row>
    <row r="854" spans="5:5" x14ac:dyDescent="0.25">
      <c r="E854" s="3" t="str">
        <f t="shared" si="13"/>
        <v/>
      </c>
    </row>
    <row r="855" spans="5:5" x14ac:dyDescent="0.25">
      <c r="E855" s="3" t="str">
        <f t="shared" si="13"/>
        <v/>
      </c>
    </row>
    <row r="856" spans="5:5" x14ac:dyDescent="0.25">
      <c r="E856" s="3" t="str">
        <f t="shared" si="13"/>
        <v/>
      </c>
    </row>
    <row r="857" spans="5:5" x14ac:dyDescent="0.25">
      <c r="E857" s="3" t="str">
        <f t="shared" si="13"/>
        <v/>
      </c>
    </row>
    <row r="858" spans="5:5" x14ac:dyDescent="0.25">
      <c r="E858" s="3" t="str">
        <f t="shared" si="13"/>
        <v/>
      </c>
    </row>
    <row r="859" spans="5:5" x14ac:dyDescent="0.25">
      <c r="E859" s="3" t="str">
        <f t="shared" si="13"/>
        <v/>
      </c>
    </row>
    <row r="860" spans="5:5" x14ac:dyDescent="0.25">
      <c r="E860" s="3" t="str">
        <f t="shared" si="13"/>
        <v/>
      </c>
    </row>
    <row r="861" spans="5:5" x14ac:dyDescent="0.25">
      <c r="E861" s="3" t="str">
        <f t="shared" si="13"/>
        <v/>
      </c>
    </row>
    <row r="862" spans="5:5" x14ac:dyDescent="0.25">
      <c r="E862" s="3" t="str">
        <f t="shared" si="13"/>
        <v/>
      </c>
    </row>
    <row r="863" spans="5:5" x14ac:dyDescent="0.25">
      <c r="E863" s="3" t="str">
        <f t="shared" si="13"/>
        <v/>
      </c>
    </row>
    <row r="864" spans="5:5" x14ac:dyDescent="0.25">
      <c r="E864" s="3" t="str">
        <f t="shared" si="13"/>
        <v/>
      </c>
    </row>
    <row r="865" spans="5:5" x14ac:dyDescent="0.25">
      <c r="E865" s="3" t="str">
        <f t="shared" si="13"/>
        <v/>
      </c>
    </row>
    <row r="866" spans="5:5" x14ac:dyDescent="0.25">
      <c r="E866" s="3" t="str">
        <f t="shared" si="13"/>
        <v/>
      </c>
    </row>
    <row r="867" spans="5:5" x14ac:dyDescent="0.25">
      <c r="E867" s="3" t="str">
        <f t="shared" si="13"/>
        <v/>
      </c>
    </row>
    <row r="868" spans="5:5" x14ac:dyDescent="0.25">
      <c r="E868" s="3" t="str">
        <f t="shared" si="13"/>
        <v/>
      </c>
    </row>
    <row r="869" spans="5:5" x14ac:dyDescent="0.25">
      <c r="E869" s="3" t="str">
        <f t="shared" si="13"/>
        <v/>
      </c>
    </row>
    <row r="870" spans="5:5" x14ac:dyDescent="0.25">
      <c r="E870" s="3" t="str">
        <f t="shared" si="13"/>
        <v/>
      </c>
    </row>
    <row r="871" spans="5:5" x14ac:dyDescent="0.25">
      <c r="E871" s="3" t="str">
        <f t="shared" si="13"/>
        <v/>
      </c>
    </row>
    <row r="872" spans="5:5" x14ac:dyDescent="0.25">
      <c r="E872" s="3" t="str">
        <f t="shared" si="13"/>
        <v/>
      </c>
    </row>
    <row r="873" spans="5:5" x14ac:dyDescent="0.25">
      <c r="E873" s="3" t="str">
        <f t="shared" si="13"/>
        <v/>
      </c>
    </row>
    <row r="874" spans="5:5" x14ac:dyDescent="0.25">
      <c r="E874" s="3" t="str">
        <f t="shared" si="13"/>
        <v/>
      </c>
    </row>
    <row r="875" spans="5:5" x14ac:dyDescent="0.25">
      <c r="E875" s="3" t="str">
        <f t="shared" si="13"/>
        <v/>
      </c>
    </row>
    <row r="876" spans="5:5" x14ac:dyDescent="0.25">
      <c r="E876" s="3" t="str">
        <f t="shared" si="13"/>
        <v/>
      </c>
    </row>
    <row r="877" spans="5:5" x14ac:dyDescent="0.25">
      <c r="E877" s="3" t="str">
        <f t="shared" si="13"/>
        <v/>
      </c>
    </row>
    <row r="878" spans="5:5" x14ac:dyDescent="0.25">
      <c r="E878" s="3" t="str">
        <f t="shared" si="13"/>
        <v/>
      </c>
    </row>
    <row r="879" spans="5:5" x14ac:dyDescent="0.25">
      <c r="E879" s="3" t="str">
        <f t="shared" si="13"/>
        <v/>
      </c>
    </row>
    <row r="880" spans="5:5" x14ac:dyDescent="0.25">
      <c r="E880" s="3" t="str">
        <f t="shared" si="13"/>
        <v/>
      </c>
    </row>
    <row r="881" spans="5:5" x14ac:dyDescent="0.25">
      <c r="E881" s="3" t="str">
        <f t="shared" si="13"/>
        <v/>
      </c>
    </row>
    <row r="882" spans="5:5" x14ac:dyDescent="0.25">
      <c r="E882" s="3" t="str">
        <f t="shared" si="13"/>
        <v/>
      </c>
    </row>
    <row r="883" spans="5:5" x14ac:dyDescent="0.25">
      <c r="E883" s="3" t="str">
        <f t="shared" si="13"/>
        <v/>
      </c>
    </row>
    <row r="884" spans="5:5" x14ac:dyDescent="0.25">
      <c r="E884" s="3" t="str">
        <f t="shared" si="13"/>
        <v/>
      </c>
    </row>
    <row r="885" spans="5:5" x14ac:dyDescent="0.25">
      <c r="E885" s="3" t="str">
        <f t="shared" si="13"/>
        <v/>
      </c>
    </row>
    <row r="886" spans="5:5" x14ac:dyDescent="0.25">
      <c r="E886" s="3" t="str">
        <f t="shared" si="13"/>
        <v/>
      </c>
    </row>
    <row r="887" spans="5:5" x14ac:dyDescent="0.25">
      <c r="E887" s="3" t="str">
        <f t="shared" si="13"/>
        <v/>
      </c>
    </row>
    <row r="888" spans="5:5" x14ac:dyDescent="0.25">
      <c r="E888" s="3" t="str">
        <f t="shared" si="13"/>
        <v/>
      </c>
    </row>
    <row r="889" spans="5:5" x14ac:dyDescent="0.25">
      <c r="E889" s="3" t="str">
        <f t="shared" si="13"/>
        <v/>
      </c>
    </row>
    <row r="890" spans="5:5" x14ac:dyDescent="0.25">
      <c r="E890" s="3" t="str">
        <f t="shared" si="13"/>
        <v/>
      </c>
    </row>
    <row r="891" spans="5:5" x14ac:dyDescent="0.25">
      <c r="E891" s="3" t="str">
        <f t="shared" si="13"/>
        <v/>
      </c>
    </row>
    <row r="892" spans="5:5" x14ac:dyDescent="0.25">
      <c r="E892" s="3" t="str">
        <f t="shared" si="13"/>
        <v/>
      </c>
    </row>
    <row r="893" spans="5:5" x14ac:dyDescent="0.25">
      <c r="E893" s="3" t="str">
        <f t="shared" si="13"/>
        <v/>
      </c>
    </row>
    <row r="894" spans="5:5" x14ac:dyDescent="0.25">
      <c r="E894" s="3" t="str">
        <f t="shared" si="13"/>
        <v/>
      </c>
    </row>
    <row r="895" spans="5:5" x14ac:dyDescent="0.25">
      <c r="E895" s="3" t="str">
        <f t="shared" si="13"/>
        <v/>
      </c>
    </row>
    <row r="896" spans="5:5" x14ac:dyDescent="0.25">
      <c r="E896" s="3" t="str">
        <f t="shared" si="13"/>
        <v/>
      </c>
    </row>
    <row r="897" spans="5:5" x14ac:dyDescent="0.25">
      <c r="E897" s="3" t="str">
        <f t="shared" si="13"/>
        <v/>
      </c>
    </row>
    <row r="898" spans="5:5" x14ac:dyDescent="0.25">
      <c r="E898" s="3" t="str">
        <f t="shared" si="13"/>
        <v/>
      </c>
    </row>
    <row r="899" spans="5:5" x14ac:dyDescent="0.25">
      <c r="E899" s="3" t="str">
        <f t="shared" ref="E899:E962" si="14">IF(COUNTIF(C$3:C$5000,C899)&gt;1,"DUPLICADO","")</f>
        <v/>
      </c>
    </row>
    <row r="900" spans="5:5" x14ac:dyDescent="0.25">
      <c r="E900" s="3" t="str">
        <f t="shared" si="14"/>
        <v/>
      </c>
    </row>
    <row r="901" spans="5:5" x14ac:dyDescent="0.25">
      <c r="E901" s="3" t="str">
        <f t="shared" si="14"/>
        <v/>
      </c>
    </row>
    <row r="902" spans="5:5" x14ac:dyDescent="0.25">
      <c r="E902" s="3" t="str">
        <f t="shared" si="14"/>
        <v/>
      </c>
    </row>
    <row r="903" spans="5:5" x14ac:dyDescent="0.25">
      <c r="E903" s="3" t="str">
        <f t="shared" si="14"/>
        <v/>
      </c>
    </row>
    <row r="904" spans="5:5" x14ac:dyDescent="0.25">
      <c r="E904" s="3" t="str">
        <f t="shared" si="14"/>
        <v/>
      </c>
    </row>
    <row r="905" spans="5:5" x14ac:dyDescent="0.25">
      <c r="E905" s="3" t="str">
        <f t="shared" si="14"/>
        <v/>
      </c>
    </row>
    <row r="906" spans="5:5" x14ac:dyDescent="0.25">
      <c r="E906" s="3" t="str">
        <f t="shared" si="14"/>
        <v/>
      </c>
    </row>
    <row r="907" spans="5:5" x14ac:dyDescent="0.25">
      <c r="E907" s="3" t="str">
        <f t="shared" si="14"/>
        <v/>
      </c>
    </row>
    <row r="908" spans="5:5" x14ac:dyDescent="0.25">
      <c r="E908" s="3" t="str">
        <f t="shared" si="14"/>
        <v/>
      </c>
    </row>
    <row r="909" spans="5:5" x14ac:dyDescent="0.25">
      <c r="E909" s="3" t="str">
        <f t="shared" si="14"/>
        <v/>
      </c>
    </row>
    <row r="910" spans="5:5" x14ac:dyDescent="0.25">
      <c r="E910" s="3" t="str">
        <f t="shared" si="14"/>
        <v/>
      </c>
    </row>
    <row r="911" spans="5:5" x14ac:dyDescent="0.25">
      <c r="E911" s="3" t="str">
        <f t="shared" si="14"/>
        <v/>
      </c>
    </row>
    <row r="912" spans="5:5" x14ac:dyDescent="0.25">
      <c r="E912" s="3" t="str">
        <f t="shared" si="14"/>
        <v/>
      </c>
    </row>
    <row r="913" spans="5:5" x14ac:dyDescent="0.25">
      <c r="E913" s="3" t="str">
        <f t="shared" si="14"/>
        <v/>
      </c>
    </row>
    <row r="914" spans="5:5" x14ac:dyDescent="0.25">
      <c r="E914" s="3" t="str">
        <f t="shared" si="14"/>
        <v/>
      </c>
    </row>
    <row r="915" spans="5:5" x14ac:dyDescent="0.25">
      <c r="E915" s="3" t="str">
        <f t="shared" si="14"/>
        <v/>
      </c>
    </row>
    <row r="916" spans="5:5" x14ac:dyDescent="0.25">
      <c r="E916" s="3" t="str">
        <f t="shared" si="14"/>
        <v/>
      </c>
    </row>
    <row r="917" spans="5:5" x14ac:dyDescent="0.25">
      <c r="E917" s="3" t="str">
        <f t="shared" si="14"/>
        <v/>
      </c>
    </row>
    <row r="918" spans="5:5" x14ac:dyDescent="0.25">
      <c r="E918" s="3" t="str">
        <f t="shared" si="14"/>
        <v/>
      </c>
    </row>
    <row r="919" spans="5:5" x14ac:dyDescent="0.25">
      <c r="E919" s="3" t="str">
        <f t="shared" si="14"/>
        <v/>
      </c>
    </row>
    <row r="920" spans="5:5" x14ac:dyDescent="0.25">
      <c r="E920" s="3" t="str">
        <f t="shared" si="14"/>
        <v/>
      </c>
    </row>
    <row r="921" spans="5:5" x14ac:dyDescent="0.25">
      <c r="E921" s="3" t="str">
        <f t="shared" si="14"/>
        <v/>
      </c>
    </row>
    <row r="922" spans="5:5" x14ac:dyDescent="0.25">
      <c r="E922" s="3" t="str">
        <f t="shared" si="14"/>
        <v/>
      </c>
    </row>
    <row r="923" spans="5:5" x14ac:dyDescent="0.25">
      <c r="E923" s="3" t="str">
        <f t="shared" si="14"/>
        <v/>
      </c>
    </row>
    <row r="924" spans="5:5" x14ac:dyDescent="0.25">
      <c r="E924" s="3" t="str">
        <f t="shared" si="14"/>
        <v/>
      </c>
    </row>
    <row r="925" spans="5:5" x14ac:dyDescent="0.25">
      <c r="E925" s="3" t="str">
        <f t="shared" si="14"/>
        <v/>
      </c>
    </row>
    <row r="926" spans="5:5" x14ac:dyDescent="0.25">
      <c r="E926" s="3" t="str">
        <f t="shared" si="14"/>
        <v/>
      </c>
    </row>
    <row r="927" spans="5:5" x14ac:dyDescent="0.25">
      <c r="E927" s="3" t="str">
        <f t="shared" si="14"/>
        <v/>
      </c>
    </row>
    <row r="928" spans="5:5" x14ac:dyDescent="0.25">
      <c r="E928" s="3" t="str">
        <f t="shared" si="14"/>
        <v/>
      </c>
    </row>
    <row r="929" spans="5:5" x14ac:dyDescent="0.25">
      <c r="E929" s="3" t="str">
        <f t="shared" si="14"/>
        <v/>
      </c>
    </row>
    <row r="930" spans="5:5" x14ac:dyDescent="0.25">
      <c r="E930" s="3" t="str">
        <f t="shared" si="14"/>
        <v/>
      </c>
    </row>
    <row r="931" spans="5:5" x14ac:dyDescent="0.25">
      <c r="E931" s="3" t="str">
        <f t="shared" si="14"/>
        <v/>
      </c>
    </row>
    <row r="932" spans="5:5" x14ac:dyDescent="0.25">
      <c r="E932" s="3" t="str">
        <f t="shared" si="14"/>
        <v/>
      </c>
    </row>
    <row r="933" spans="5:5" x14ac:dyDescent="0.25">
      <c r="E933" s="3" t="str">
        <f t="shared" si="14"/>
        <v/>
      </c>
    </row>
    <row r="934" spans="5:5" x14ac:dyDescent="0.25">
      <c r="E934" s="3" t="str">
        <f t="shared" si="14"/>
        <v/>
      </c>
    </row>
    <row r="935" spans="5:5" x14ac:dyDescent="0.25">
      <c r="E935" s="3" t="str">
        <f t="shared" si="14"/>
        <v/>
      </c>
    </row>
    <row r="936" spans="5:5" x14ac:dyDescent="0.25">
      <c r="E936" s="3" t="str">
        <f t="shared" si="14"/>
        <v/>
      </c>
    </row>
    <row r="937" spans="5:5" x14ac:dyDescent="0.25">
      <c r="E937" s="3" t="str">
        <f t="shared" si="14"/>
        <v/>
      </c>
    </row>
    <row r="938" spans="5:5" x14ac:dyDescent="0.25">
      <c r="E938" s="3" t="str">
        <f t="shared" si="14"/>
        <v/>
      </c>
    </row>
    <row r="939" spans="5:5" x14ac:dyDescent="0.25">
      <c r="E939" s="3" t="str">
        <f t="shared" si="14"/>
        <v/>
      </c>
    </row>
    <row r="940" spans="5:5" x14ac:dyDescent="0.25">
      <c r="E940" s="3" t="str">
        <f t="shared" si="14"/>
        <v/>
      </c>
    </row>
    <row r="941" spans="5:5" x14ac:dyDescent="0.25">
      <c r="E941" s="3" t="str">
        <f t="shared" si="14"/>
        <v/>
      </c>
    </row>
    <row r="942" spans="5:5" x14ac:dyDescent="0.25">
      <c r="E942" s="3" t="str">
        <f t="shared" si="14"/>
        <v/>
      </c>
    </row>
    <row r="943" spans="5:5" x14ac:dyDescent="0.25">
      <c r="E943" s="3" t="str">
        <f t="shared" si="14"/>
        <v/>
      </c>
    </row>
    <row r="944" spans="5:5" x14ac:dyDescent="0.25">
      <c r="E944" s="3" t="str">
        <f t="shared" si="14"/>
        <v/>
      </c>
    </row>
    <row r="945" spans="5:5" x14ac:dyDescent="0.25">
      <c r="E945" s="3" t="str">
        <f t="shared" si="14"/>
        <v/>
      </c>
    </row>
    <row r="946" spans="5:5" x14ac:dyDescent="0.25">
      <c r="E946" s="3" t="str">
        <f t="shared" si="14"/>
        <v/>
      </c>
    </row>
    <row r="947" spans="5:5" x14ac:dyDescent="0.25">
      <c r="E947" s="3" t="str">
        <f t="shared" si="14"/>
        <v/>
      </c>
    </row>
    <row r="948" spans="5:5" x14ac:dyDescent="0.25">
      <c r="E948" s="3" t="str">
        <f t="shared" si="14"/>
        <v/>
      </c>
    </row>
    <row r="949" spans="5:5" x14ac:dyDescent="0.25">
      <c r="E949" s="3" t="str">
        <f t="shared" si="14"/>
        <v/>
      </c>
    </row>
    <row r="950" spans="5:5" x14ac:dyDescent="0.25">
      <c r="E950" s="3" t="str">
        <f t="shared" si="14"/>
        <v/>
      </c>
    </row>
    <row r="951" spans="5:5" x14ac:dyDescent="0.25">
      <c r="E951" s="3" t="str">
        <f t="shared" si="14"/>
        <v/>
      </c>
    </row>
    <row r="952" spans="5:5" x14ac:dyDescent="0.25">
      <c r="E952" s="3" t="str">
        <f t="shared" si="14"/>
        <v/>
      </c>
    </row>
    <row r="953" spans="5:5" x14ac:dyDescent="0.25">
      <c r="E953" s="3" t="str">
        <f t="shared" si="14"/>
        <v/>
      </c>
    </row>
    <row r="954" spans="5:5" x14ac:dyDescent="0.25">
      <c r="E954" s="3" t="str">
        <f t="shared" si="14"/>
        <v/>
      </c>
    </row>
    <row r="955" spans="5:5" x14ac:dyDescent="0.25">
      <c r="E955" s="3" t="str">
        <f t="shared" si="14"/>
        <v/>
      </c>
    </row>
    <row r="956" spans="5:5" x14ac:dyDescent="0.25">
      <c r="E956" s="3" t="str">
        <f t="shared" si="14"/>
        <v/>
      </c>
    </row>
    <row r="957" spans="5:5" x14ac:dyDescent="0.25">
      <c r="E957" s="3" t="str">
        <f t="shared" si="14"/>
        <v/>
      </c>
    </row>
    <row r="958" spans="5:5" x14ac:dyDescent="0.25">
      <c r="E958" s="3" t="str">
        <f t="shared" si="14"/>
        <v/>
      </c>
    </row>
    <row r="959" spans="5:5" x14ac:dyDescent="0.25">
      <c r="E959" s="3" t="str">
        <f t="shared" si="14"/>
        <v/>
      </c>
    </row>
    <row r="960" spans="5:5" x14ac:dyDescent="0.25">
      <c r="E960" s="3" t="str">
        <f t="shared" si="14"/>
        <v/>
      </c>
    </row>
    <row r="961" spans="5:5" x14ac:dyDescent="0.25">
      <c r="E961" s="3" t="str">
        <f t="shared" si="14"/>
        <v/>
      </c>
    </row>
    <row r="962" spans="5:5" x14ac:dyDescent="0.25">
      <c r="E962" s="3" t="str">
        <f t="shared" si="14"/>
        <v/>
      </c>
    </row>
    <row r="963" spans="5:5" x14ac:dyDescent="0.25">
      <c r="E963" s="3" t="str">
        <f t="shared" ref="E963:E1026" si="15">IF(COUNTIF(C$3:C$5000,C963)&gt;1,"DUPLICADO","")</f>
        <v/>
      </c>
    </row>
    <row r="964" spans="5:5" x14ac:dyDescent="0.25">
      <c r="E964" s="3" t="str">
        <f t="shared" si="15"/>
        <v/>
      </c>
    </row>
    <row r="965" spans="5:5" x14ac:dyDescent="0.25">
      <c r="E965" s="3" t="str">
        <f t="shared" si="15"/>
        <v/>
      </c>
    </row>
    <row r="966" spans="5:5" x14ac:dyDescent="0.25">
      <c r="E966" s="3" t="str">
        <f t="shared" si="15"/>
        <v/>
      </c>
    </row>
    <row r="967" spans="5:5" x14ac:dyDescent="0.25">
      <c r="E967" s="3" t="str">
        <f t="shared" si="15"/>
        <v/>
      </c>
    </row>
    <row r="968" spans="5:5" x14ac:dyDescent="0.25">
      <c r="E968" s="3" t="str">
        <f t="shared" si="15"/>
        <v/>
      </c>
    </row>
    <row r="969" spans="5:5" x14ac:dyDescent="0.25">
      <c r="E969" s="3" t="str">
        <f t="shared" si="15"/>
        <v/>
      </c>
    </row>
    <row r="970" spans="5:5" x14ac:dyDescent="0.25">
      <c r="E970" s="3" t="str">
        <f t="shared" si="15"/>
        <v/>
      </c>
    </row>
    <row r="971" spans="5:5" x14ac:dyDescent="0.25">
      <c r="E971" s="3" t="str">
        <f t="shared" si="15"/>
        <v/>
      </c>
    </row>
    <row r="972" spans="5:5" x14ac:dyDescent="0.25">
      <c r="E972" s="3" t="str">
        <f t="shared" si="15"/>
        <v/>
      </c>
    </row>
    <row r="973" spans="5:5" x14ac:dyDescent="0.25">
      <c r="E973" s="3" t="str">
        <f t="shared" si="15"/>
        <v/>
      </c>
    </row>
    <row r="974" spans="5:5" x14ac:dyDescent="0.25">
      <c r="E974" s="3" t="str">
        <f t="shared" si="15"/>
        <v/>
      </c>
    </row>
    <row r="975" spans="5:5" x14ac:dyDescent="0.25">
      <c r="E975" s="3" t="str">
        <f t="shared" si="15"/>
        <v/>
      </c>
    </row>
    <row r="976" spans="5:5" x14ac:dyDescent="0.25">
      <c r="E976" s="3" t="str">
        <f t="shared" si="15"/>
        <v/>
      </c>
    </row>
    <row r="977" spans="5:5" x14ac:dyDescent="0.25">
      <c r="E977" s="3" t="str">
        <f t="shared" si="15"/>
        <v/>
      </c>
    </row>
    <row r="978" spans="5:5" x14ac:dyDescent="0.25">
      <c r="E978" s="3" t="str">
        <f t="shared" si="15"/>
        <v/>
      </c>
    </row>
    <row r="979" spans="5:5" x14ac:dyDescent="0.25">
      <c r="E979" s="3" t="str">
        <f t="shared" si="15"/>
        <v/>
      </c>
    </row>
    <row r="980" spans="5:5" x14ac:dyDescent="0.25">
      <c r="E980" s="3" t="str">
        <f t="shared" si="15"/>
        <v/>
      </c>
    </row>
    <row r="981" spans="5:5" x14ac:dyDescent="0.25">
      <c r="E981" s="3" t="str">
        <f t="shared" si="15"/>
        <v/>
      </c>
    </row>
    <row r="982" spans="5:5" x14ac:dyDescent="0.25">
      <c r="E982" s="3" t="str">
        <f t="shared" si="15"/>
        <v/>
      </c>
    </row>
    <row r="983" spans="5:5" x14ac:dyDescent="0.25">
      <c r="E983" s="3" t="str">
        <f t="shared" si="15"/>
        <v/>
      </c>
    </row>
    <row r="984" spans="5:5" x14ac:dyDescent="0.25">
      <c r="E984" s="3" t="str">
        <f t="shared" si="15"/>
        <v/>
      </c>
    </row>
    <row r="985" spans="5:5" x14ac:dyDescent="0.25">
      <c r="E985" s="3" t="str">
        <f t="shared" si="15"/>
        <v/>
      </c>
    </row>
    <row r="986" spans="5:5" x14ac:dyDescent="0.25">
      <c r="E986" s="3" t="str">
        <f t="shared" si="15"/>
        <v/>
      </c>
    </row>
    <row r="987" spans="5:5" x14ac:dyDescent="0.25">
      <c r="E987" s="3" t="str">
        <f t="shared" si="15"/>
        <v/>
      </c>
    </row>
    <row r="988" spans="5:5" x14ac:dyDescent="0.25">
      <c r="E988" s="3" t="str">
        <f t="shared" si="15"/>
        <v/>
      </c>
    </row>
    <row r="989" spans="5:5" x14ac:dyDescent="0.25">
      <c r="E989" s="3" t="str">
        <f t="shared" si="15"/>
        <v/>
      </c>
    </row>
    <row r="990" spans="5:5" x14ac:dyDescent="0.25">
      <c r="E990" s="3" t="str">
        <f t="shared" si="15"/>
        <v/>
      </c>
    </row>
    <row r="991" spans="5:5" x14ac:dyDescent="0.25">
      <c r="E991" s="3" t="str">
        <f t="shared" si="15"/>
        <v/>
      </c>
    </row>
    <row r="992" spans="5:5" x14ac:dyDescent="0.25">
      <c r="E992" s="3" t="str">
        <f t="shared" si="15"/>
        <v/>
      </c>
    </row>
    <row r="993" spans="5:5" x14ac:dyDescent="0.25">
      <c r="E993" s="3" t="str">
        <f t="shared" si="15"/>
        <v/>
      </c>
    </row>
    <row r="994" spans="5:5" x14ac:dyDescent="0.25">
      <c r="E994" s="3" t="str">
        <f t="shared" si="15"/>
        <v/>
      </c>
    </row>
    <row r="995" spans="5:5" x14ac:dyDescent="0.25">
      <c r="E995" s="3" t="str">
        <f t="shared" si="15"/>
        <v/>
      </c>
    </row>
    <row r="996" spans="5:5" x14ac:dyDescent="0.25">
      <c r="E996" s="3" t="str">
        <f t="shared" si="15"/>
        <v/>
      </c>
    </row>
    <row r="997" spans="5:5" x14ac:dyDescent="0.25">
      <c r="E997" s="3" t="str">
        <f t="shared" si="15"/>
        <v/>
      </c>
    </row>
    <row r="998" spans="5:5" x14ac:dyDescent="0.25">
      <c r="E998" s="3" t="str">
        <f t="shared" si="15"/>
        <v/>
      </c>
    </row>
    <row r="999" spans="5:5" x14ac:dyDescent="0.25">
      <c r="E999" s="3" t="str">
        <f t="shared" si="15"/>
        <v/>
      </c>
    </row>
    <row r="1000" spans="5:5" x14ac:dyDescent="0.25">
      <c r="E1000" s="3" t="str">
        <f t="shared" si="15"/>
        <v/>
      </c>
    </row>
    <row r="1001" spans="5:5" x14ac:dyDescent="0.25">
      <c r="E1001" s="3" t="str">
        <f t="shared" si="15"/>
        <v/>
      </c>
    </row>
    <row r="1002" spans="5:5" x14ac:dyDescent="0.25">
      <c r="E1002" s="3" t="str">
        <f t="shared" si="15"/>
        <v/>
      </c>
    </row>
    <row r="1003" spans="5:5" x14ac:dyDescent="0.25">
      <c r="E1003" s="3" t="str">
        <f t="shared" si="15"/>
        <v/>
      </c>
    </row>
    <row r="1004" spans="5:5" x14ac:dyDescent="0.25">
      <c r="E1004" s="3" t="str">
        <f t="shared" si="15"/>
        <v/>
      </c>
    </row>
    <row r="1005" spans="5:5" x14ac:dyDescent="0.25">
      <c r="E1005" s="3" t="str">
        <f t="shared" si="15"/>
        <v/>
      </c>
    </row>
    <row r="1006" spans="5:5" x14ac:dyDescent="0.25">
      <c r="E1006" s="3" t="str">
        <f t="shared" si="15"/>
        <v/>
      </c>
    </row>
    <row r="1007" spans="5:5" x14ac:dyDescent="0.25">
      <c r="E1007" s="3" t="str">
        <f t="shared" si="15"/>
        <v/>
      </c>
    </row>
    <row r="1008" spans="5:5" x14ac:dyDescent="0.25">
      <c r="E1008" s="3" t="str">
        <f t="shared" si="15"/>
        <v/>
      </c>
    </row>
    <row r="1009" spans="5:5" x14ac:dyDescent="0.25">
      <c r="E1009" s="3" t="str">
        <f t="shared" si="15"/>
        <v/>
      </c>
    </row>
    <row r="1010" spans="5:5" x14ac:dyDescent="0.25">
      <c r="E1010" s="3" t="str">
        <f t="shared" si="15"/>
        <v/>
      </c>
    </row>
    <row r="1011" spans="5:5" x14ac:dyDescent="0.25">
      <c r="E1011" s="3" t="str">
        <f t="shared" si="15"/>
        <v/>
      </c>
    </row>
    <row r="1012" spans="5:5" x14ac:dyDescent="0.25">
      <c r="E1012" s="3" t="str">
        <f t="shared" si="15"/>
        <v/>
      </c>
    </row>
    <row r="1013" spans="5:5" x14ac:dyDescent="0.25">
      <c r="E1013" s="3" t="str">
        <f t="shared" si="15"/>
        <v/>
      </c>
    </row>
    <row r="1014" spans="5:5" x14ac:dyDescent="0.25">
      <c r="E1014" s="3" t="str">
        <f t="shared" si="15"/>
        <v/>
      </c>
    </row>
    <row r="1015" spans="5:5" x14ac:dyDescent="0.25">
      <c r="E1015" s="3" t="str">
        <f t="shared" si="15"/>
        <v/>
      </c>
    </row>
    <row r="1016" spans="5:5" x14ac:dyDescent="0.25">
      <c r="E1016" s="3" t="str">
        <f t="shared" si="15"/>
        <v/>
      </c>
    </row>
    <row r="1017" spans="5:5" x14ac:dyDescent="0.25">
      <c r="E1017" s="3" t="str">
        <f t="shared" si="15"/>
        <v/>
      </c>
    </row>
    <row r="1018" spans="5:5" x14ac:dyDescent="0.25">
      <c r="E1018" s="3" t="str">
        <f t="shared" si="15"/>
        <v/>
      </c>
    </row>
    <row r="1019" spans="5:5" x14ac:dyDescent="0.25">
      <c r="E1019" s="3" t="str">
        <f t="shared" si="15"/>
        <v/>
      </c>
    </row>
    <row r="1020" spans="5:5" x14ac:dyDescent="0.25">
      <c r="E1020" s="3" t="str">
        <f t="shared" si="15"/>
        <v/>
      </c>
    </row>
    <row r="1021" spans="5:5" x14ac:dyDescent="0.25">
      <c r="E1021" s="3" t="str">
        <f t="shared" si="15"/>
        <v/>
      </c>
    </row>
    <row r="1022" spans="5:5" x14ac:dyDescent="0.25">
      <c r="E1022" s="3" t="str">
        <f t="shared" si="15"/>
        <v/>
      </c>
    </row>
    <row r="1023" spans="5:5" x14ac:dyDescent="0.25">
      <c r="E1023" s="3" t="str">
        <f t="shared" si="15"/>
        <v/>
      </c>
    </row>
    <row r="1024" spans="5:5" x14ac:dyDescent="0.25">
      <c r="E1024" s="3" t="str">
        <f t="shared" si="15"/>
        <v/>
      </c>
    </row>
    <row r="1025" spans="5:5" x14ac:dyDescent="0.25">
      <c r="E1025" s="3" t="str">
        <f t="shared" si="15"/>
        <v/>
      </c>
    </row>
    <row r="1026" spans="5:5" x14ac:dyDescent="0.25">
      <c r="E1026" s="3" t="str">
        <f t="shared" si="15"/>
        <v/>
      </c>
    </row>
    <row r="1027" spans="5:5" x14ac:dyDescent="0.25">
      <c r="E1027" s="3" t="str">
        <f t="shared" ref="E1027:E1090" si="16">IF(COUNTIF(C$3:C$5000,C1027)&gt;1,"DUPLICADO","")</f>
        <v/>
      </c>
    </row>
    <row r="1028" spans="5:5" x14ac:dyDescent="0.25">
      <c r="E1028" s="3" t="str">
        <f t="shared" si="16"/>
        <v/>
      </c>
    </row>
    <row r="1029" spans="5:5" x14ac:dyDescent="0.25">
      <c r="E1029" s="3" t="str">
        <f t="shared" si="16"/>
        <v/>
      </c>
    </row>
    <row r="1030" spans="5:5" x14ac:dyDescent="0.25">
      <c r="E1030" s="3" t="str">
        <f t="shared" si="16"/>
        <v/>
      </c>
    </row>
    <row r="1031" spans="5:5" x14ac:dyDescent="0.25">
      <c r="E1031" s="3" t="str">
        <f t="shared" si="16"/>
        <v/>
      </c>
    </row>
    <row r="1032" spans="5:5" x14ac:dyDescent="0.25">
      <c r="E1032" s="3" t="str">
        <f t="shared" si="16"/>
        <v/>
      </c>
    </row>
    <row r="1033" spans="5:5" x14ac:dyDescent="0.25">
      <c r="E1033" s="3" t="str">
        <f t="shared" si="16"/>
        <v/>
      </c>
    </row>
    <row r="1034" spans="5:5" x14ac:dyDescent="0.25">
      <c r="E1034" s="3" t="str">
        <f t="shared" si="16"/>
        <v/>
      </c>
    </row>
    <row r="1035" spans="5:5" x14ac:dyDescent="0.25">
      <c r="E1035" s="3" t="str">
        <f t="shared" si="16"/>
        <v/>
      </c>
    </row>
    <row r="1036" spans="5:5" x14ac:dyDescent="0.25">
      <c r="E1036" s="3" t="str">
        <f t="shared" si="16"/>
        <v/>
      </c>
    </row>
    <row r="1037" spans="5:5" x14ac:dyDescent="0.25">
      <c r="E1037" s="3" t="str">
        <f t="shared" si="16"/>
        <v/>
      </c>
    </row>
    <row r="1038" spans="5:5" x14ac:dyDescent="0.25">
      <c r="E1038" s="3" t="str">
        <f t="shared" si="16"/>
        <v/>
      </c>
    </row>
    <row r="1039" spans="5:5" x14ac:dyDescent="0.25">
      <c r="E1039" s="3" t="str">
        <f t="shared" si="16"/>
        <v/>
      </c>
    </row>
    <row r="1040" spans="5:5" x14ac:dyDescent="0.25">
      <c r="E1040" s="3" t="str">
        <f t="shared" si="16"/>
        <v/>
      </c>
    </row>
    <row r="1041" spans="5:5" x14ac:dyDescent="0.25">
      <c r="E1041" s="3" t="str">
        <f t="shared" si="16"/>
        <v/>
      </c>
    </row>
    <row r="1042" spans="5:5" x14ac:dyDescent="0.25">
      <c r="E1042" s="3" t="str">
        <f t="shared" si="16"/>
        <v/>
      </c>
    </row>
    <row r="1043" spans="5:5" x14ac:dyDescent="0.25">
      <c r="E1043" s="3" t="str">
        <f t="shared" si="16"/>
        <v/>
      </c>
    </row>
    <row r="1044" spans="5:5" x14ac:dyDescent="0.25">
      <c r="E1044" s="3" t="str">
        <f t="shared" si="16"/>
        <v/>
      </c>
    </row>
    <row r="1045" spans="5:5" x14ac:dyDescent="0.25">
      <c r="E1045" s="3" t="str">
        <f t="shared" si="16"/>
        <v/>
      </c>
    </row>
    <row r="1046" spans="5:5" x14ac:dyDescent="0.25">
      <c r="E1046" s="3" t="str">
        <f t="shared" si="16"/>
        <v/>
      </c>
    </row>
    <row r="1047" spans="5:5" x14ac:dyDescent="0.25">
      <c r="E1047" s="3" t="str">
        <f t="shared" si="16"/>
        <v/>
      </c>
    </row>
    <row r="1048" spans="5:5" x14ac:dyDescent="0.25">
      <c r="E1048" s="3" t="str">
        <f t="shared" si="16"/>
        <v/>
      </c>
    </row>
    <row r="1049" spans="5:5" x14ac:dyDescent="0.25">
      <c r="E1049" s="3" t="str">
        <f t="shared" si="16"/>
        <v/>
      </c>
    </row>
    <row r="1050" spans="5:5" x14ac:dyDescent="0.25">
      <c r="E1050" s="3" t="str">
        <f t="shared" si="16"/>
        <v/>
      </c>
    </row>
    <row r="1051" spans="5:5" x14ac:dyDescent="0.25">
      <c r="E1051" s="3" t="str">
        <f t="shared" si="16"/>
        <v/>
      </c>
    </row>
    <row r="1052" spans="5:5" x14ac:dyDescent="0.25">
      <c r="E1052" s="3" t="str">
        <f t="shared" si="16"/>
        <v/>
      </c>
    </row>
    <row r="1053" spans="5:5" x14ac:dyDescent="0.25">
      <c r="E1053" s="3" t="str">
        <f t="shared" si="16"/>
        <v/>
      </c>
    </row>
    <row r="1054" spans="5:5" x14ac:dyDescent="0.25">
      <c r="E1054" s="3" t="str">
        <f t="shared" si="16"/>
        <v/>
      </c>
    </row>
    <row r="1055" spans="5:5" x14ac:dyDescent="0.25">
      <c r="E1055" s="3" t="str">
        <f t="shared" si="16"/>
        <v/>
      </c>
    </row>
    <row r="1056" spans="5:5" x14ac:dyDescent="0.25">
      <c r="E1056" s="3" t="str">
        <f t="shared" si="16"/>
        <v/>
      </c>
    </row>
    <row r="1057" spans="5:5" x14ac:dyDescent="0.25">
      <c r="E1057" s="3" t="str">
        <f t="shared" si="16"/>
        <v/>
      </c>
    </row>
    <row r="1058" spans="5:5" x14ac:dyDescent="0.25">
      <c r="E1058" s="3" t="str">
        <f t="shared" si="16"/>
        <v/>
      </c>
    </row>
    <row r="1059" spans="5:5" x14ac:dyDescent="0.25">
      <c r="E1059" s="3" t="str">
        <f t="shared" si="16"/>
        <v/>
      </c>
    </row>
    <row r="1060" spans="5:5" x14ac:dyDescent="0.25">
      <c r="E1060" s="3" t="str">
        <f t="shared" si="16"/>
        <v/>
      </c>
    </row>
    <row r="1061" spans="5:5" x14ac:dyDescent="0.25">
      <c r="E1061" s="3" t="str">
        <f t="shared" si="16"/>
        <v/>
      </c>
    </row>
    <row r="1062" spans="5:5" x14ac:dyDescent="0.25">
      <c r="E1062" s="3" t="str">
        <f t="shared" si="16"/>
        <v/>
      </c>
    </row>
    <row r="1063" spans="5:5" x14ac:dyDescent="0.25">
      <c r="E1063" s="3" t="str">
        <f t="shared" si="16"/>
        <v/>
      </c>
    </row>
    <row r="1064" spans="5:5" x14ac:dyDescent="0.25">
      <c r="E1064" s="3" t="str">
        <f t="shared" si="16"/>
        <v/>
      </c>
    </row>
    <row r="1065" spans="5:5" x14ac:dyDescent="0.25">
      <c r="E1065" s="3" t="str">
        <f t="shared" si="16"/>
        <v/>
      </c>
    </row>
    <row r="1066" spans="5:5" x14ac:dyDescent="0.25">
      <c r="E1066" s="3" t="str">
        <f t="shared" si="16"/>
        <v/>
      </c>
    </row>
    <row r="1067" spans="5:5" x14ac:dyDescent="0.25">
      <c r="E1067" s="3" t="str">
        <f t="shared" si="16"/>
        <v/>
      </c>
    </row>
    <row r="1068" spans="5:5" x14ac:dyDescent="0.25">
      <c r="E1068" s="3" t="str">
        <f t="shared" si="16"/>
        <v/>
      </c>
    </row>
    <row r="1069" spans="5:5" x14ac:dyDescent="0.25">
      <c r="E1069" s="3" t="str">
        <f t="shared" si="16"/>
        <v/>
      </c>
    </row>
    <row r="1070" spans="5:5" x14ac:dyDescent="0.25">
      <c r="E1070" s="3" t="str">
        <f t="shared" si="16"/>
        <v/>
      </c>
    </row>
    <row r="1071" spans="5:5" x14ac:dyDescent="0.25">
      <c r="E1071" s="3" t="str">
        <f t="shared" si="16"/>
        <v/>
      </c>
    </row>
    <row r="1072" spans="5:5" x14ac:dyDescent="0.25">
      <c r="E1072" s="3" t="str">
        <f t="shared" si="16"/>
        <v/>
      </c>
    </row>
    <row r="1073" spans="5:5" x14ac:dyDescent="0.25">
      <c r="E1073" s="3" t="str">
        <f t="shared" si="16"/>
        <v/>
      </c>
    </row>
    <row r="1074" spans="5:5" x14ac:dyDescent="0.25">
      <c r="E1074" s="3" t="str">
        <f t="shared" si="16"/>
        <v/>
      </c>
    </row>
    <row r="1075" spans="5:5" x14ac:dyDescent="0.25">
      <c r="E1075" s="3" t="str">
        <f t="shared" si="16"/>
        <v/>
      </c>
    </row>
    <row r="1076" spans="5:5" x14ac:dyDescent="0.25">
      <c r="E1076" s="3" t="str">
        <f t="shared" si="16"/>
        <v/>
      </c>
    </row>
    <row r="1077" spans="5:5" x14ac:dyDescent="0.25">
      <c r="E1077" s="3" t="str">
        <f t="shared" si="16"/>
        <v/>
      </c>
    </row>
    <row r="1078" spans="5:5" x14ac:dyDescent="0.25">
      <c r="E1078" s="3" t="str">
        <f t="shared" si="16"/>
        <v/>
      </c>
    </row>
    <row r="1079" spans="5:5" x14ac:dyDescent="0.25">
      <c r="E1079" s="3" t="str">
        <f t="shared" si="16"/>
        <v/>
      </c>
    </row>
    <row r="1080" spans="5:5" x14ac:dyDescent="0.25">
      <c r="E1080" s="3" t="str">
        <f t="shared" si="16"/>
        <v/>
      </c>
    </row>
    <row r="1081" spans="5:5" x14ac:dyDescent="0.25">
      <c r="E1081" s="3" t="str">
        <f t="shared" si="16"/>
        <v/>
      </c>
    </row>
    <row r="1082" spans="5:5" x14ac:dyDescent="0.25">
      <c r="E1082" s="3" t="str">
        <f t="shared" si="16"/>
        <v/>
      </c>
    </row>
    <row r="1083" spans="5:5" x14ac:dyDescent="0.25">
      <c r="E1083" s="3" t="str">
        <f t="shared" si="16"/>
        <v/>
      </c>
    </row>
    <row r="1084" spans="5:5" x14ac:dyDescent="0.25">
      <c r="E1084" s="3" t="str">
        <f t="shared" si="16"/>
        <v/>
      </c>
    </row>
    <row r="1085" spans="5:5" x14ac:dyDescent="0.25">
      <c r="E1085" s="3" t="str">
        <f t="shared" si="16"/>
        <v/>
      </c>
    </row>
    <row r="1086" spans="5:5" x14ac:dyDescent="0.25">
      <c r="E1086" s="3" t="str">
        <f t="shared" si="16"/>
        <v/>
      </c>
    </row>
    <row r="1087" spans="5:5" x14ac:dyDescent="0.25">
      <c r="E1087" s="3" t="str">
        <f t="shared" si="16"/>
        <v/>
      </c>
    </row>
    <row r="1088" spans="5:5" x14ac:dyDescent="0.25">
      <c r="E1088" s="3" t="str">
        <f t="shared" si="16"/>
        <v/>
      </c>
    </row>
    <row r="1089" spans="5:5" x14ac:dyDescent="0.25">
      <c r="E1089" s="3" t="str">
        <f t="shared" si="16"/>
        <v/>
      </c>
    </row>
    <row r="1090" spans="5:5" x14ac:dyDescent="0.25">
      <c r="E1090" s="3" t="str">
        <f t="shared" si="16"/>
        <v/>
      </c>
    </row>
    <row r="1091" spans="5:5" x14ac:dyDescent="0.25">
      <c r="E1091" s="3" t="str">
        <f t="shared" ref="E1091:E1154" si="17">IF(COUNTIF(C$3:C$5000,C1091)&gt;1,"DUPLICADO","")</f>
        <v/>
      </c>
    </row>
    <row r="1092" spans="5:5" x14ac:dyDescent="0.25">
      <c r="E1092" s="3" t="str">
        <f t="shared" si="17"/>
        <v/>
      </c>
    </row>
    <row r="1093" spans="5:5" x14ac:dyDescent="0.25">
      <c r="E1093" s="3" t="str">
        <f t="shared" si="17"/>
        <v/>
      </c>
    </row>
    <row r="1094" spans="5:5" x14ac:dyDescent="0.25">
      <c r="E1094" s="3" t="str">
        <f t="shared" si="17"/>
        <v/>
      </c>
    </row>
    <row r="1095" spans="5:5" x14ac:dyDescent="0.25">
      <c r="E1095" s="3" t="str">
        <f t="shared" si="17"/>
        <v/>
      </c>
    </row>
    <row r="1096" spans="5:5" x14ac:dyDescent="0.25">
      <c r="E1096" s="3" t="str">
        <f t="shared" si="17"/>
        <v/>
      </c>
    </row>
    <row r="1097" spans="5:5" x14ac:dyDescent="0.25">
      <c r="E1097" s="3" t="str">
        <f t="shared" si="17"/>
        <v/>
      </c>
    </row>
    <row r="1098" spans="5:5" x14ac:dyDescent="0.25">
      <c r="E1098" s="3" t="str">
        <f t="shared" si="17"/>
        <v/>
      </c>
    </row>
    <row r="1099" spans="5:5" x14ac:dyDescent="0.25">
      <c r="E1099" s="3" t="str">
        <f t="shared" si="17"/>
        <v/>
      </c>
    </row>
    <row r="1100" spans="5:5" x14ac:dyDescent="0.25">
      <c r="E1100" s="3" t="str">
        <f t="shared" si="17"/>
        <v/>
      </c>
    </row>
    <row r="1101" spans="5:5" x14ac:dyDescent="0.25">
      <c r="E1101" s="3" t="str">
        <f t="shared" si="17"/>
        <v/>
      </c>
    </row>
    <row r="1102" spans="5:5" x14ac:dyDescent="0.25">
      <c r="E1102" s="3" t="str">
        <f t="shared" si="17"/>
        <v/>
      </c>
    </row>
    <row r="1103" spans="5:5" x14ac:dyDescent="0.25">
      <c r="E1103" s="3" t="str">
        <f t="shared" si="17"/>
        <v/>
      </c>
    </row>
    <row r="1104" spans="5:5" x14ac:dyDescent="0.25">
      <c r="E1104" s="3" t="str">
        <f t="shared" si="17"/>
        <v/>
      </c>
    </row>
    <row r="1105" spans="5:5" x14ac:dyDescent="0.25">
      <c r="E1105" s="3" t="str">
        <f t="shared" si="17"/>
        <v/>
      </c>
    </row>
    <row r="1106" spans="5:5" x14ac:dyDescent="0.25">
      <c r="E1106" s="3" t="str">
        <f t="shared" si="17"/>
        <v/>
      </c>
    </row>
    <row r="1107" spans="5:5" x14ac:dyDescent="0.25">
      <c r="E1107" s="3" t="str">
        <f t="shared" si="17"/>
        <v/>
      </c>
    </row>
    <row r="1108" spans="5:5" x14ac:dyDescent="0.25">
      <c r="E1108" s="3" t="str">
        <f t="shared" si="17"/>
        <v/>
      </c>
    </row>
    <row r="1109" spans="5:5" x14ac:dyDescent="0.25">
      <c r="E1109" s="3" t="str">
        <f t="shared" si="17"/>
        <v/>
      </c>
    </row>
    <row r="1110" spans="5:5" x14ac:dyDescent="0.25">
      <c r="E1110" s="3" t="str">
        <f t="shared" si="17"/>
        <v/>
      </c>
    </row>
    <row r="1111" spans="5:5" x14ac:dyDescent="0.25">
      <c r="E1111" s="3" t="str">
        <f t="shared" si="17"/>
        <v/>
      </c>
    </row>
    <row r="1112" spans="5:5" x14ac:dyDescent="0.25">
      <c r="E1112" s="3" t="str">
        <f t="shared" si="17"/>
        <v/>
      </c>
    </row>
    <row r="1113" spans="5:5" x14ac:dyDescent="0.25">
      <c r="E1113" s="3" t="str">
        <f t="shared" si="17"/>
        <v/>
      </c>
    </row>
    <row r="1114" spans="5:5" x14ac:dyDescent="0.25">
      <c r="E1114" s="3" t="str">
        <f t="shared" si="17"/>
        <v/>
      </c>
    </row>
    <row r="1115" spans="5:5" x14ac:dyDescent="0.25">
      <c r="E1115" s="3" t="str">
        <f t="shared" si="17"/>
        <v/>
      </c>
    </row>
    <row r="1116" spans="5:5" x14ac:dyDescent="0.25">
      <c r="E1116" s="3" t="str">
        <f t="shared" si="17"/>
        <v/>
      </c>
    </row>
    <row r="1117" spans="5:5" x14ac:dyDescent="0.25">
      <c r="E1117" s="3" t="str">
        <f t="shared" si="17"/>
        <v/>
      </c>
    </row>
    <row r="1118" spans="5:5" x14ac:dyDescent="0.25">
      <c r="E1118" s="3" t="str">
        <f t="shared" si="17"/>
        <v/>
      </c>
    </row>
    <row r="1119" spans="5:5" x14ac:dyDescent="0.25">
      <c r="E1119" s="3" t="str">
        <f t="shared" si="17"/>
        <v/>
      </c>
    </row>
    <row r="1120" spans="5:5" x14ac:dyDescent="0.25">
      <c r="E1120" s="3" t="str">
        <f t="shared" si="17"/>
        <v/>
      </c>
    </row>
    <row r="1121" spans="5:5" x14ac:dyDescent="0.25">
      <c r="E1121" s="3" t="str">
        <f t="shared" si="17"/>
        <v/>
      </c>
    </row>
    <row r="1122" spans="5:5" x14ac:dyDescent="0.25">
      <c r="E1122" s="3" t="str">
        <f t="shared" si="17"/>
        <v/>
      </c>
    </row>
    <row r="1123" spans="5:5" x14ac:dyDescent="0.25">
      <c r="E1123" s="3" t="str">
        <f t="shared" si="17"/>
        <v/>
      </c>
    </row>
    <row r="1124" spans="5:5" x14ac:dyDescent="0.25">
      <c r="E1124" s="3" t="str">
        <f t="shared" si="17"/>
        <v/>
      </c>
    </row>
    <row r="1125" spans="5:5" x14ac:dyDescent="0.25">
      <c r="E1125" s="3" t="str">
        <f t="shared" si="17"/>
        <v/>
      </c>
    </row>
    <row r="1126" spans="5:5" x14ac:dyDescent="0.25">
      <c r="E1126" s="3" t="str">
        <f t="shared" si="17"/>
        <v/>
      </c>
    </row>
    <row r="1127" spans="5:5" x14ac:dyDescent="0.25">
      <c r="E1127" s="3" t="str">
        <f t="shared" si="17"/>
        <v/>
      </c>
    </row>
    <row r="1128" spans="5:5" x14ac:dyDescent="0.25">
      <c r="E1128" s="3" t="str">
        <f t="shared" si="17"/>
        <v/>
      </c>
    </row>
    <row r="1129" spans="5:5" x14ac:dyDescent="0.25">
      <c r="E1129" s="3" t="str">
        <f t="shared" si="17"/>
        <v/>
      </c>
    </row>
    <row r="1130" spans="5:5" x14ac:dyDescent="0.25">
      <c r="E1130" s="3" t="str">
        <f t="shared" si="17"/>
        <v/>
      </c>
    </row>
    <row r="1131" spans="5:5" x14ac:dyDescent="0.25">
      <c r="E1131" s="3" t="str">
        <f t="shared" si="17"/>
        <v/>
      </c>
    </row>
    <row r="1132" spans="5:5" x14ac:dyDescent="0.25">
      <c r="E1132" s="3" t="str">
        <f t="shared" si="17"/>
        <v/>
      </c>
    </row>
    <row r="1133" spans="5:5" x14ac:dyDescent="0.25">
      <c r="E1133" s="3" t="str">
        <f t="shared" si="17"/>
        <v/>
      </c>
    </row>
    <row r="1134" spans="5:5" x14ac:dyDescent="0.25">
      <c r="E1134" s="3" t="str">
        <f t="shared" si="17"/>
        <v/>
      </c>
    </row>
    <row r="1135" spans="5:5" x14ac:dyDescent="0.25">
      <c r="E1135" s="3" t="str">
        <f t="shared" si="17"/>
        <v/>
      </c>
    </row>
    <row r="1136" spans="5:5" x14ac:dyDescent="0.25">
      <c r="E1136" s="3" t="str">
        <f t="shared" si="17"/>
        <v/>
      </c>
    </row>
    <row r="1137" spans="5:5" x14ac:dyDescent="0.25">
      <c r="E1137" s="3" t="str">
        <f t="shared" si="17"/>
        <v/>
      </c>
    </row>
    <row r="1138" spans="5:5" x14ac:dyDescent="0.25">
      <c r="E1138" s="3" t="str">
        <f t="shared" si="17"/>
        <v/>
      </c>
    </row>
    <row r="1139" spans="5:5" x14ac:dyDescent="0.25">
      <c r="E1139" s="3" t="str">
        <f t="shared" si="17"/>
        <v/>
      </c>
    </row>
    <row r="1140" spans="5:5" x14ac:dyDescent="0.25">
      <c r="E1140" s="3" t="str">
        <f t="shared" si="17"/>
        <v/>
      </c>
    </row>
    <row r="1141" spans="5:5" x14ac:dyDescent="0.25">
      <c r="E1141" s="3" t="str">
        <f t="shared" si="17"/>
        <v/>
      </c>
    </row>
    <row r="1142" spans="5:5" x14ac:dyDescent="0.25">
      <c r="E1142" s="3" t="str">
        <f t="shared" si="17"/>
        <v/>
      </c>
    </row>
    <row r="1143" spans="5:5" x14ac:dyDescent="0.25">
      <c r="E1143" s="3" t="str">
        <f t="shared" si="17"/>
        <v/>
      </c>
    </row>
    <row r="1144" spans="5:5" x14ac:dyDescent="0.25">
      <c r="E1144" s="3" t="str">
        <f t="shared" si="17"/>
        <v/>
      </c>
    </row>
    <row r="1145" spans="5:5" x14ac:dyDescent="0.25">
      <c r="E1145" s="3" t="str">
        <f t="shared" si="17"/>
        <v/>
      </c>
    </row>
    <row r="1146" spans="5:5" x14ac:dyDescent="0.25">
      <c r="E1146" s="3" t="str">
        <f t="shared" si="17"/>
        <v/>
      </c>
    </row>
    <row r="1147" spans="5:5" x14ac:dyDescent="0.25">
      <c r="E1147" s="3" t="str">
        <f t="shared" si="17"/>
        <v/>
      </c>
    </row>
    <row r="1148" spans="5:5" x14ac:dyDescent="0.25">
      <c r="E1148" s="3" t="str">
        <f t="shared" si="17"/>
        <v/>
      </c>
    </row>
    <row r="1149" spans="5:5" x14ac:dyDescent="0.25">
      <c r="E1149" s="3" t="str">
        <f t="shared" si="17"/>
        <v/>
      </c>
    </row>
    <row r="1150" spans="5:5" x14ac:dyDescent="0.25">
      <c r="E1150" s="3" t="str">
        <f t="shared" si="17"/>
        <v/>
      </c>
    </row>
    <row r="1151" spans="5:5" x14ac:dyDescent="0.25">
      <c r="E1151" s="3" t="str">
        <f t="shared" si="17"/>
        <v/>
      </c>
    </row>
    <row r="1152" spans="5:5" x14ac:dyDescent="0.25">
      <c r="E1152" s="3" t="str">
        <f t="shared" si="17"/>
        <v/>
      </c>
    </row>
    <row r="1153" spans="5:5" x14ac:dyDescent="0.25">
      <c r="E1153" s="3" t="str">
        <f t="shared" si="17"/>
        <v/>
      </c>
    </row>
    <row r="1154" spans="5:5" x14ac:dyDescent="0.25">
      <c r="E1154" s="3" t="str">
        <f t="shared" si="17"/>
        <v/>
      </c>
    </row>
    <row r="1155" spans="5:5" x14ac:dyDescent="0.25">
      <c r="E1155" s="3" t="str">
        <f t="shared" ref="E1155:E1218" si="18">IF(COUNTIF(C$3:C$5000,C1155)&gt;1,"DUPLICADO","")</f>
        <v/>
      </c>
    </row>
    <row r="1156" spans="5:5" x14ac:dyDescent="0.25">
      <c r="E1156" s="3" t="str">
        <f t="shared" si="18"/>
        <v/>
      </c>
    </row>
    <row r="1157" spans="5:5" x14ac:dyDescent="0.25">
      <c r="E1157" s="3" t="str">
        <f t="shared" si="18"/>
        <v/>
      </c>
    </row>
    <row r="1158" spans="5:5" x14ac:dyDescent="0.25">
      <c r="E1158" s="3" t="str">
        <f t="shared" si="18"/>
        <v/>
      </c>
    </row>
    <row r="1159" spans="5:5" x14ac:dyDescent="0.25">
      <c r="E1159" s="3" t="str">
        <f t="shared" si="18"/>
        <v/>
      </c>
    </row>
    <row r="1160" spans="5:5" x14ac:dyDescent="0.25">
      <c r="E1160" s="3" t="str">
        <f t="shared" si="18"/>
        <v/>
      </c>
    </row>
    <row r="1161" spans="5:5" x14ac:dyDescent="0.25">
      <c r="E1161" s="3" t="str">
        <f t="shared" si="18"/>
        <v/>
      </c>
    </row>
    <row r="1162" spans="5:5" x14ac:dyDescent="0.25">
      <c r="E1162" s="3" t="str">
        <f t="shared" si="18"/>
        <v/>
      </c>
    </row>
    <row r="1163" spans="5:5" x14ac:dyDescent="0.25">
      <c r="E1163" s="3" t="str">
        <f t="shared" si="18"/>
        <v/>
      </c>
    </row>
    <row r="1164" spans="5:5" x14ac:dyDescent="0.25">
      <c r="E1164" s="3" t="str">
        <f t="shared" si="18"/>
        <v/>
      </c>
    </row>
    <row r="1165" spans="5:5" x14ac:dyDescent="0.25">
      <c r="E1165" s="3" t="str">
        <f t="shared" si="18"/>
        <v/>
      </c>
    </row>
    <row r="1166" spans="5:5" x14ac:dyDescent="0.25">
      <c r="E1166" s="3" t="str">
        <f t="shared" si="18"/>
        <v/>
      </c>
    </row>
    <row r="1167" spans="5:5" x14ac:dyDescent="0.25">
      <c r="E1167" s="3" t="str">
        <f t="shared" si="18"/>
        <v/>
      </c>
    </row>
    <row r="1168" spans="5:5" x14ac:dyDescent="0.25">
      <c r="E1168" s="3" t="str">
        <f t="shared" si="18"/>
        <v/>
      </c>
    </row>
    <row r="1169" spans="5:5" x14ac:dyDescent="0.25">
      <c r="E1169" s="3" t="str">
        <f t="shared" si="18"/>
        <v/>
      </c>
    </row>
    <row r="1170" spans="5:5" x14ac:dyDescent="0.25">
      <c r="E1170" s="3" t="str">
        <f t="shared" si="18"/>
        <v/>
      </c>
    </row>
    <row r="1171" spans="5:5" x14ac:dyDescent="0.25">
      <c r="E1171" s="3" t="str">
        <f t="shared" si="18"/>
        <v/>
      </c>
    </row>
    <row r="1172" spans="5:5" x14ac:dyDescent="0.25">
      <c r="E1172" s="3" t="str">
        <f t="shared" si="18"/>
        <v/>
      </c>
    </row>
    <row r="1173" spans="5:5" x14ac:dyDescent="0.25">
      <c r="E1173" s="3" t="str">
        <f t="shared" si="18"/>
        <v/>
      </c>
    </row>
    <row r="1174" spans="5:5" x14ac:dyDescent="0.25">
      <c r="E1174" s="3" t="str">
        <f t="shared" si="18"/>
        <v/>
      </c>
    </row>
    <row r="1175" spans="5:5" x14ac:dyDescent="0.25">
      <c r="E1175" s="3" t="str">
        <f t="shared" si="18"/>
        <v/>
      </c>
    </row>
    <row r="1176" spans="5:5" x14ac:dyDescent="0.25">
      <c r="E1176" s="3" t="str">
        <f t="shared" si="18"/>
        <v/>
      </c>
    </row>
    <row r="1177" spans="5:5" x14ac:dyDescent="0.25">
      <c r="E1177" s="3" t="str">
        <f t="shared" si="18"/>
        <v/>
      </c>
    </row>
    <row r="1178" spans="5:5" x14ac:dyDescent="0.25">
      <c r="E1178" s="3" t="str">
        <f t="shared" si="18"/>
        <v/>
      </c>
    </row>
    <row r="1179" spans="5:5" x14ac:dyDescent="0.25">
      <c r="E1179" s="3" t="str">
        <f t="shared" si="18"/>
        <v/>
      </c>
    </row>
    <row r="1180" spans="5:5" x14ac:dyDescent="0.25">
      <c r="E1180" s="3" t="str">
        <f t="shared" si="18"/>
        <v/>
      </c>
    </row>
    <row r="1181" spans="5:5" x14ac:dyDescent="0.25">
      <c r="E1181" s="3" t="str">
        <f t="shared" si="18"/>
        <v/>
      </c>
    </row>
    <row r="1182" spans="5:5" x14ac:dyDescent="0.25">
      <c r="E1182" s="3" t="str">
        <f t="shared" si="18"/>
        <v/>
      </c>
    </row>
    <row r="1183" spans="5:5" x14ac:dyDescent="0.25">
      <c r="E1183" s="3" t="str">
        <f t="shared" si="18"/>
        <v/>
      </c>
    </row>
    <row r="1184" spans="5:5" x14ac:dyDescent="0.25">
      <c r="E1184" s="3" t="str">
        <f t="shared" si="18"/>
        <v/>
      </c>
    </row>
    <row r="1185" spans="5:5" x14ac:dyDescent="0.25">
      <c r="E1185" s="3" t="str">
        <f t="shared" si="18"/>
        <v/>
      </c>
    </row>
    <row r="1186" spans="5:5" x14ac:dyDescent="0.25">
      <c r="E1186" s="3" t="str">
        <f t="shared" si="18"/>
        <v/>
      </c>
    </row>
    <row r="1187" spans="5:5" x14ac:dyDescent="0.25">
      <c r="E1187" s="3" t="str">
        <f t="shared" si="18"/>
        <v/>
      </c>
    </row>
    <row r="1188" spans="5:5" x14ac:dyDescent="0.25">
      <c r="E1188" s="3" t="str">
        <f t="shared" si="18"/>
        <v/>
      </c>
    </row>
    <row r="1189" spans="5:5" x14ac:dyDescent="0.25">
      <c r="E1189" s="3" t="str">
        <f t="shared" si="18"/>
        <v/>
      </c>
    </row>
    <row r="1190" spans="5:5" x14ac:dyDescent="0.25">
      <c r="E1190" s="3" t="str">
        <f t="shared" si="18"/>
        <v/>
      </c>
    </row>
    <row r="1191" spans="5:5" x14ac:dyDescent="0.25">
      <c r="E1191" s="3" t="str">
        <f t="shared" si="18"/>
        <v/>
      </c>
    </row>
    <row r="1192" spans="5:5" x14ac:dyDescent="0.25">
      <c r="E1192" s="3" t="str">
        <f t="shared" si="18"/>
        <v/>
      </c>
    </row>
    <row r="1193" spans="5:5" x14ac:dyDescent="0.25">
      <c r="E1193" s="3" t="str">
        <f t="shared" si="18"/>
        <v/>
      </c>
    </row>
    <row r="1194" spans="5:5" x14ac:dyDescent="0.25">
      <c r="E1194" s="3" t="str">
        <f t="shared" si="18"/>
        <v/>
      </c>
    </row>
    <row r="1195" spans="5:5" x14ac:dyDescent="0.25">
      <c r="E1195" s="3" t="str">
        <f t="shared" si="18"/>
        <v/>
      </c>
    </row>
    <row r="1196" spans="5:5" x14ac:dyDescent="0.25">
      <c r="E1196" s="3" t="str">
        <f t="shared" si="18"/>
        <v/>
      </c>
    </row>
    <row r="1197" spans="5:5" x14ac:dyDescent="0.25">
      <c r="E1197" s="3" t="str">
        <f t="shared" si="18"/>
        <v/>
      </c>
    </row>
    <row r="1198" spans="5:5" x14ac:dyDescent="0.25">
      <c r="E1198" s="3" t="str">
        <f t="shared" si="18"/>
        <v/>
      </c>
    </row>
    <row r="1199" spans="5:5" x14ac:dyDescent="0.25">
      <c r="E1199" s="3" t="str">
        <f t="shared" si="18"/>
        <v/>
      </c>
    </row>
    <row r="1200" spans="5:5" x14ac:dyDescent="0.25">
      <c r="E1200" s="3" t="str">
        <f t="shared" si="18"/>
        <v/>
      </c>
    </row>
    <row r="1201" spans="5:5" x14ac:dyDescent="0.25">
      <c r="E1201" s="3" t="str">
        <f t="shared" si="18"/>
        <v/>
      </c>
    </row>
    <row r="1202" spans="5:5" x14ac:dyDescent="0.25">
      <c r="E1202" s="3" t="str">
        <f t="shared" si="18"/>
        <v/>
      </c>
    </row>
    <row r="1203" spans="5:5" x14ac:dyDescent="0.25">
      <c r="E1203" s="3" t="str">
        <f t="shared" si="18"/>
        <v/>
      </c>
    </row>
    <row r="1204" spans="5:5" x14ac:dyDescent="0.25">
      <c r="E1204" s="3" t="str">
        <f t="shared" si="18"/>
        <v/>
      </c>
    </row>
    <row r="1205" spans="5:5" x14ac:dyDescent="0.25">
      <c r="E1205" s="3" t="str">
        <f t="shared" si="18"/>
        <v/>
      </c>
    </row>
    <row r="1206" spans="5:5" x14ac:dyDescent="0.25">
      <c r="E1206" s="3" t="str">
        <f t="shared" si="18"/>
        <v/>
      </c>
    </row>
    <row r="1207" spans="5:5" x14ac:dyDescent="0.25">
      <c r="E1207" s="3" t="str">
        <f t="shared" si="18"/>
        <v/>
      </c>
    </row>
    <row r="1208" spans="5:5" x14ac:dyDescent="0.25">
      <c r="E1208" s="3" t="str">
        <f t="shared" si="18"/>
        <v/>
      </c>
    </row>
    <row r="1209" spans="5:5" x14ac:dyDescent="0.25">
      <c r="E1209" s="3" t="str">
        <f t="shared" si="18"/>
        <v/>
      </c>
    </row>
    <row r="1210" spans="5:5" x14ac:dyDescent="0.25">
      <c r="E1210" s="3" t="str">
        <f t="shared" si="18"/>
        <v/>
      </c>
    </row>
    <row r="1211" spans="5:5" x14ac:dyDescent="0.25">
      <c r="E1211" s="3" t="str">
        <f t="shared" si="18"/>
        <v/>
      </c>
    </row>
    <row r="1212" spans="5:5" x14ac:dyDescent="0.25">
      <c r="E1212" s="3" t="str">
        <f t="shared" si="18"/>
        <v/>
      </c>
    </row>
    <row r="1213" spans="5:5" x14ac:dyDescent="0.25">
      <c r="E1213" s="3" t="str">
        <f t="shared" si="18"/>
        <v/>
      </c>
    </row>
    <row r="1214" spans="5:5" x14ac:dyDescent="0.25">
      <c r="E1214" s="3" t="str">
        <f t="shared" si="18"/>
        <v/>
      </c>
    </row>
    <row r="1215" spans="5:5" x14ac:dyDescent="0.25">
      <c r="E1215" s="3" t="str">
        <f t="shared" si="18"/>
        <v/>
      </c>
    </row>
    <row r="1216" spans="5:5" x14ac:dyDescent="0.25">
      <c r="E1216" s="3" t="str">
        <f t="shared" si="18"/>
        <v/>
      </c>
    </row>
    <row r="1217" spans="5:5" x14ac:dyDescent="0.25">
      <c r="E1217" s="3" t="str">
        <f t="shared" si="18"/>
        <v/>
      </c>
    </row>
    <row r="1218" spans="5:5" x14ac:dyDescent="0.25">
      <c r="E1218" s="3" t="str">
        <f t="shared" si="18"/>
        <v/>
      </c>
    </row>
    <row r="1219" spans="5:5" x14ac:dyDescent="0.25">
      <c r="E1219" s="3" t="str">
        <f t="shared" ref="E1219:E1282" si="19">IF(COUNTIF(C$3:C$5000,C1219)&gt;1,"DUPLICADO","")</f>
        <v/>
      </c>
    </row>
    <row r="1220" spans="5:5" x14ac:dyDescent="0.25">
      <c r="E1220" s="3" t="str">
        <f t="shared" si="19"/>
        <v/>
      </c>
    </row>
    <row r="1221" spans="5:5" x14ac:dyDescent="0.25">
      <c r="E1221" s="3" t="str">
        <f t="shared" si="19"/>
        <v/>
      </c>
    </row>
    <row r="1222" spans="5:5" x14ac:dyDescent="0.25">
      <c r="E1222" s="3" t="str">
        <f t="shared" si="19"/>
        <v/>
      </c>
    </row>
    <row r="1223" spans="5:5" x14ac:dyDescent="0.25">
      <c r="E1223" s="3" t="str">
        <f t="shared" si="19"/>
        <v/>
      </c>
    </row>
    <row r="1224" spans="5:5" x14ac:dyDescent="0.25">
      <c r="E1224" s="3" t="str">
        <f t="shared" si="19"/>
        <v/>
      </c>
    </row>
    <row r="1225" spans="5:5" x14ac:dyDescent="0.25">
      <c r="E1225" s="3" t="str">
        <f t="shared" si="19"/>
        <v/>
      </c>
    </row>
    <row r="1226" spans="5:5" x14ac:dyDescent="0.25">
      <c r="E1226" s="3" t="str">
        <f t="shared" si="19"/>
        <v/>
      </c>
    </row>
    <row r="1227" spans="5:5" x14ac:dyDescent="0.25">
      <c r="E1227" s="3" t="str">
        <f t="shared" si="19"/>
        <v/>
      </c>
    </row>
    <row r="1228" spans="5:5" x14ac:dyDescent="0.25">
      <c r="E1228" s="3" t="str">
        <f t="shared" si="19"/>
        <v/>
      </c>
    </row>
    <row r="1229" spans="5:5" x14ac:dyDescent="0.25">
      <c r="E1229" s="3" t="str">
        <f t="shared" si="19"/>
        <v/>
      </c>
    </row>
    <row r="1230" spans="5:5" x14ac:dyDescent="0.25">
      <c r="E1230" s="3" t="str">
        <f t="shared" si="19"/>
        <v/>
      </c>
    </row>
    <row r="1231" spans="5:5" x14ac:dyDescent="0.25">
      <c r="E1231" s="3" t="str">
        <f t="shared" si="19"/>
        <v/>
      </c>
    </row>
    <row r="1232" spans="5:5" x14ac:dyDescent="0.25">
      <c r="E1232" s="3" t="str">
        <f t="shared" si="19"/>
        <v/>
      </c>
    </row>
    <row r="1233" spans="5:5" x14ac:dyDescent="0.25">
      <c r="E1233" s="3" t="str">
        <f t="shared" si="19"/>
        <v/>
      </c>
    </row>
    <row r="1234" spans="5:5" x14ac:dyDescent="0.25">
      <c r="E1234" s="3" t="str">
        <f t="shared" si="19"/>
        <v/>
      </c>
    </row>
    <row r="1235" spans="5:5" x14ac:dyDescent="0.25">
      <c r="E1235" s="3" t="str">
        <f t="shared" si="19"/>
        <v/>
      </c>
    </row>
    <row r="1236" spans="5:5" x14ac:dyDescent="0.25">
      <c r="E1236" s="3" t="str">
        <f t="shared" si="19"/>
        <v/>
      </c>
    </row>
    <row r="1237" spans="5:5" x14ac:dyDescent="0.25">
      <c r="E1237" s="3" t="str">
        <f t="shared" si="19"/>
        <v/>
      </c>
    </row>
    <row r="1238" spans="5:5" x14ac:dyDescent="0.25">
      <c r="E1238" s="3" t="str">
        <f t="shared" si="19"/>
        <v/>
      </c>
    </row>
    <row r="1239" spans="5:5" x14ac:dyDescent="0.25">
      <c r="E1239" s="3" t="str">
        <f t="shared" si="19"/>
        <v/>
      </c>
    </row>
    <row r="1240" spans="5:5" x14ac:dyDescent="0.25">
      <c r="E1240" s="3" t="str">
        <f t="shared" si="19"/>
        <v/>
      </c>
    </row>
    <row r="1241" spans="5:5" x14ac:dyDescent="0.25">
      <c r="E1241" s="3" t="str">
        <f t="shared" si="19"/>
        <v/>
      </c>
    </row>
    <row r="1242" spans="5:5" x14ac:dyDescent="0.25">
      <c r="E1242" s="3" t="str">
        <f t="shared" si="19"/>
        <v/>
      </c>
    </row>
    <row r="1243" spans="5:5" x14ac:dyDescent="0.25">
      <c r="E1243" s="3" t="str">
        <f t="shared" si="19"/>
        <v/>
      </c>
    </row>
    <row r="1244" spans="5:5" x14ac:dyDescent="0.25">
      <c r="E1244" s="3" t="str">
        <f t="shared" si="19"/>
        <v/>
      </c>
    </row>
    <row r="1245" spans="5:5" x14ac:dyDescent="0.25">
      <c r="E1245" s="3" t="str">
        <f t="shared" si="19"/>
        <v/>
      </c>
    </row>
    <row r="1246" spans="5:5" x14ac:dyDescent="0.25">
      <c r="E1246" s="3" t="str">
        <f t="shared" si="19"/>
        <v/>
      </c>
    </row>
    <row r="1247" spans="5:5" x14ac:dyDescent="0.25">
      <c r="E1247" s="3" t="str">
        <f t="shared" si="19"/>
        <v/>
      </c>
    </row>
    <row r="1248" spans="5:5" x14ac:dyDescent="0.25">
      <c r="E1248" s="3" t="str">
        <f t="shared" si="19"/>
        <v/>
      </c>
    </row>
    <row r="1249" spans="5:5" x14ac:dyDescent="0.25">
      <c r="E1249" s="3" t="str">
        <f t="shared" si="19"/>
        <v/>
      </c>
    </row>
    <row r="1250" spans="5:5" x14ac:dyDescent="0.25">
      <c r="E1250" s="3" t="str">
        <f t="shared" si="19"/>
        <v/>
      </c>
    </row>
    <row r="1251" spans="5:5" x14ac:dyDescent="0.25">
      <c r="E1251" s="3" t="str">
        <f t="shared" si="19"/>
        <v/>
      </c>
    </row>
    <row r="1252" spans="5:5" x14ac:dyDescent="0.25">
      <c r="E1252" s="3" t="str">
        <f t="shared" si="19"/>
        <v/>
      </c>
    </row>
    <row r="1253" spans="5:5" x14ac:dyDescent="0.25">
      <c r="E1253" s="3" t="str">
        <f t="shared" si="19"/>
        <v/>
      </c>
    </row>
    <row r="1254" spans="5:5" x14ac:dyDescent="0.25">
      <c r="E1254" s="3" t="str">
        <f t="shared" si="19"/>
        <v/>
      </c>
    </row>
    <row r="1255" spans="5:5" x14ac:dyDescent="0.25">
      <c r="E1255" s="3" t="str">
        <f t="shared" si="19"/>
        <v/>
      </c>
    </row>
    <row r="1256" spans="5:5" x14ac:dyDescent="0.25">
      <c r="E1256" s="3" t="str">
        <f t="shared" si="19"/>
        <v/>
      </c>
    </row>
    <row r="1257" spans="5:5" x14ac:dyDescent="0.25">
      <c r="E1257" s="3" t="str">
        <f t="shared" si="19"/>
        <v/>
      </c>
    </row>
    <row r="1258" spans="5:5" x14ac:dyDescent="0.25">
      <c r="E1258" s="3" t="str">
        <f t="shared" si="19"/>
        <v/>
      </c>
    </row>
    <row r="1259" spans="5:5" x14ac:dyDescent="0.25">
      <c r="E1259" s="3" t="str">
        <f t="shared" si="19"/>
        <v/>
      </c>
    </row>
    <row r="1260" spans="5:5" x14ac:dyDescent="0.25">
      <c r="E1260" s="3" t="str">
        <f t="shared" si="19"/>
        <v/>
      </c>
    </row>
    <row r="1261" spans="5:5" x14ac:dyDescent="0.25">
      <c r="E1261" s="3" t="str">
        <f t="shared" si="19"/>
        <v/>
      </c>
    </row>
    <row r="1262" spans="5:5" x14ac:dyDescent="0.25">
      <c r="E1262" s="3" t="str">
        <f t="shared" si="19"/>
        <v/>
      </c>
    </row>
    <row r="1263" spans="5:5" x14ac:dyDescent="0.25">
      <c r="E1263" s="3" t="str">
        <f t="shared" si="19"/>
        <v/>
      </c>
    </row>
    <row r="1264" spans="5:5" x14ac:dyDescent="0.25">
      <c r="E1264" s="3" t="str">
        <f t="shared" si="19"/>
        <v/>
      </c>
    </row>
    <row r="1265" spans="5:5" x14ac:dyDescent="0.25">
      <c r="E1265" s="3" t="str">
        <f t="shared" si="19"/>
        <v/>
      </c>
    </row>
    <row r="1266" spans="5:5" x14ac:dyDescent="0.25">
      <c r="E1266" s="3" t="str">
        <f t="shared" si="19"/>
        <v/>
      </c>
    </row>
    <row r="1267" spans="5:5" x14ac:dyDescent="0.25">
      <c r="E1267" s="3" t="str">
        <f t="shared" si="19"/>
        <v/>
      </c>
    </row>
    <row r="1268" spans="5:5" x14ac:dyDescent="0.25">
      <c r="E1268" s="3" t="str">
        <f t="shared" si="19"/>
        <v/>
      </c>
    </row>
    <row r="1269" spans="5:5" x14ac:dyDescent="0.25">
      <c r="E1269" s="3" t="str">
        <f t="shared" si="19"/>
        <v/>
      </c>
    </row>
    <row r="1270" spans="5:5" x14ac:dyDescent="0.25">
      <c r="E1270" s="3" t="str">
        <f t="shared" si="19"/>
        <v/>
      </c>
    </row>
    <row r="1271" spans="5:5" x14ac:dyDescent="0.25">
      <c r="E1271" s="3" t="str">
        <f t="shared" si="19"/>
        <v/>
      </c>
    </row>
    <row r="1272" spans="5:5" x14ac:dyDescent="0.25">
      <c r="E1272" s="3" t="str">
        <f t="shared" si="19"/>
        <v/>
      </c>
    </row>
    <row r="1273" spans="5:5" x14ac:dyDescent="0.25">
      <c r="E1273" s="3" t="str">
        <f t="shared" si="19"/>
        <v/>
      </c>
    </row>
    <row r="1274" spans="5:5" x14ac:dyDescent="0.25">
      <c r="E1274" s="3" t="str">
        <f t="shared" si="19"/>
        <v/>
      </c>
    </row>
    <row r="1275" spans="5:5" x14ac:dyDescent="0.25">
      <c r="E1275" s="3" t="str">
        <f t="shared" si="19"/>
        <v/>
      </c>
    </row>
    <row r="1276" spans="5:5" x14ac:dyDescent="0.25">
      <c r="E1276" s="3" t="str">
        <f t="shared" si="19"/>
        <v/>
      </c>
    </row>
    <row r="1277" spans="5:5" x14ac:dyDescent="0.25">
      <c r="E1277" s="3" t="str">
        <f t="shared" si="19"/>
        <v/>
      </c>
    </row>
    <row r="1278" spans="5:5" x14ac:dyDescent="0.25">
      <c r="E1278" s="3" t="str">
        <f t="shared" si="19"/>
        <v/>
      </c>
    </row>
    <row r="1279" spans="5:5" x14ac:dyDescent="0.25">
      <c r="E1279" s="3" t="str">
        <f t="shared" si="19"/>
        <v/>
      </c>
    </row>
    <row r="1280" spans="5:5" x14ac:dyDescent="0.25">
      <c r="E1280" s="3" t="str">
        <f t="shared" si="19"/>
        <v/>
      </c>
    </row>
    <row r="1281" spans="5:5" x14ac:dyDescent="0.25">
      <c r="E1281" s="3" t="str">
        <f t="shared" si="19"/>
        <v/>
      </c>
    </row>
    <row r="1282" spans="5:5" x14ac:dyDescent="0.25">
      <c r="E1282" s="3" t="str">
        <f t="shared" si="19"/>
        <v/>
      </c>
    </row>
    <row r="1283" spans="5:5" x14ac:dyDescent="0.25">
      <c r="E1283" s="3" t="str">
        <f t="shared" ref="E1283:E1346" si="20">IF(COUNTIF(C$3:C$5000,C1283)&gt;1,"DUPLICADO","")</f>
        <v/>
      </c>
    </row>
    <row r="1284" spans="5:5" x14ac:dyDescent="0.25">
      <c r="E1284" s="3" t="str">
        <f t="shared" si="20"/>
        <v/>
      </c>
    </row>
    <row r="1285" spans="5:5" x14ac:dyDescent="0.25">
      <c r="E1285" s="3" t="str">
        <f t="shared" si="20"/>
        <v/>
      </c>
    </row>
    <row r="1286" spans="5:5" x14ac:dyDescent="0.25">
      <c r="E1286" s="3" t="str">
        <f t="shared" si="20"/>
        <v/>
      </c>
    </row>
    <row r="1287" spans="5:5" x14ac:dyDescent="0.25">
      <c r="E1287" s="3" t="str">
        <f t="shared" si="20"/>
        <v/>
      </c>
    </row>
    <row r="1288" spans="5:5" x14ac:dyDescent="0.25">
      <c r="E1288" s="3" t="str">
        <f t="shared" si="20"/>
        <v/>
      </c>
    </row>
    <row r="1289" spans="5:5" x14ac:dyDescent="0.25">
      <c r="E1289" s="3" t="str">
        <f t="shared" si="20"/>
        <v/>
      </c>
    </row>
    <row r="1290" spans="5:5" x14ac:dyDescent="0.25">
      <c r="E1290" s="3" t="str">
        <f t="shared" si="20"/>
        <v/>
      </c>
    </row>
    <row r="1291" spans="5:5" x14ac:dyDescent="0.25">
      <c r="E1291" s="3" t="str">
        <f t="shared" si="20"/>
        <v/>
      </c>
    </row>
    <row r="1292" spans="5:5" x14ac:dyDescent="0.25">
      <c r="E1292" s="3" t="str">
        <f t="shared" si="20"/>
        <v/>
      </c>
    </row>
    <row r="1293" spans="5:5" x14ac:dyDescent="0.25">
      <c r="E1293" s="3" t="str">
        <f t="shared" si="20"/>
        <v/>
      </c>
    </row>
    <row r="1294" spans="5:5" x14ac:dyDescent="0.25">
      <c r="E1294" s="3" t="str">
        <f t="shared" si="20"/>
        <v/>
      </c>
    </row>
    <row r="1295" spans="5:5" x14ac:dyDescent="0.25">
      <c r="E1295" s="3" t="str">
        <f t="shared" si="20"/>
        <v/>
      </c>
    </row>
    <row r="1296" spans="5:5" x14ac:dyDescent="0.25">
      <c r="E1296" s="3" t="str">
        <f t="shared" si="20"/>
        <v/>
      </c>
    </row>
    <row r="1297" spans="5:5" x14ac:dyDescent="0.25">
      <c r="E1297" s="3" t="str">
        <f t="shared" si="20"/>
        <v/>
      </c>
    </row>
    <row r="1298" spans="5:5" x14ac:dyDescent="0.25">
      <c r="E1298" s="3" t="str">
        <f t="shared" si="20"/>
        <v/>
      </c>
    </row>
    <row r="1299" spans="5:5" x14ac:dyDescent="0.25">
      <c r="E1299" s="3" t="str">
        <f t="shared" si="20"/>
        <v/>
      </c>
    </row>
    <row r="1300" spans="5:5" x14ac:dyDescent="0.25">
      <c r="E1300" s="3" t="str">
        <f t="shared" si="20"/>
        <v/>
      </c>
    </row>
    <row r="1301" spans="5:5" x14ac:dyDescent="0.25">
      <c r="E1301" s="3" t="str">
        <f t="shared" si="20"/>
        <v/>
      </c>
    </row>
    <row r="1302" spans="5:5" x14ac:dyDescent="0.25">
      <c r="E1302" s="3" t="str">
        <f t="shared" si="20"/>
        <v/>
      </c>
    </row>
    <row r="1303" spans="5:5" x14ac:dyDescent="0.25">
      <c r="E1303" s="3" t="str">
        <f t="shared" si="20"/>
        <v/>
      </c>
    </row>
    <row r="1304" spans="5:5" x14ac:dyDescent="0.25">
      <c r="E1304" s="3" t="str">
        <f t="shared" si="20"/>
        <v/>
      </c>
    </row>
    <row r="1305" spans="5:5" x14ac:dyDescent="0.25">
      <c r="E1305" s="3" t="str">
        <f t="shared" si="20"/>
        <v/>
      </c>
    </row>
    <row r="1306" spans="5:5" x14ac:dyDescent="0.25">
      <c r="E1306" s="3" t="str">
        <f t="shared" si="20"/>
        <v/>
      </c>
    </row>
    <row r="1307" spans="5:5" x14ac:dyDescent="0.25">
      <c r="E1307" s="3" t="str">
        <f t="shared" si="20"/>
        <v/>
      </c>
    </row>
    <row r="1308" spans="5:5" x14ac:dyDescent="0.25">
      <c r="E1308" s="3" t="str">
        <f t="shared" si="20"/>
        <v/>
      </c>
    </row>
    <row r="1309" spans="5:5" x14ac:dyDescent="0.25">
      <c r="E1309" s="3" t="str">
        <f t="shared" si="20"/>
        <v/>
      </c>
    </row>
    <row r="1310" spans="5:5" x14ac:dyDescent="0.25">
      <c r="E1310" s="3" t="str">
        <f t="shared" si="20"/>
        <v/>
      </c>
    </row>
    <row r="1311" spans="5:5" x14ac:dyDescent="0.25">
      <c r="E1311" s="3" t="str">
        <f t="shared" si="20"/>
        <v/>
      </c>
    </row>
    <row r="1312" spans="5:5" x14ac:dyDescent="0.25">
      <c r="E1312" s="3" t="str">
        <f t="shared" si="20"/>
        <v/>
      </c>
    </row>
    <row r="1313" spans="5:5" x14ac:dyDescent="0.25">
      <c r="E1313" s="3" t="str">
        <f t="shared" si="20"/>
        <v/>
      </c>
    </row>
    <row r="1314" spans="5:5" x14ac:dyDescent="0.25">
      <c r="E1314" s="3" t="str">
        <f t="shared" si="20"/>
        <v/>
      </c>
    </row>
    <row r="1315" spans="5:5" x14ac:dyDescent="0.25">
      <c r="E1315" s="3" t="str">
        <f t="shared" si="20"/>
        <v/>
      </c>
    </row>
    <row r="1316" spans="5:5" x14ac:dyDescent="0.25">
      <c r="E1316" s="3" t="str">
        <f t="shared" si="20"/>
        <v/>
      </c>
    </row>
    <row r="1317" spans="5:5" x14ac:dyDescent="0.25">
      <c r="E1317" s="3" t="str">
        <f t="shared" si="20"/>
        <v/>
      </c>
    </row>
    <row r="1318" spans="5:5" x14ac:dyDescent="0.25">
      <c r="E1318" s="3" t="str">
        <f t="shared" si="20"/>
        <v/>
      </c>
    </row>
    <row r="1319" spans="5:5" x14ac:dyDescent="0.25">
      <c r="E1319" s="3" t="str">
        <f t="shared" si="20"/>
        <v/>
      </c>
    </row>
    <row r="1320" spans="5:5" x14ac:dyDescent="0.25">
      <c r="E1320" s="3" t="str">
        <f t="shared" si="20"/>
        <v/>
      </c>
    </row>
    <row r="1321" spans="5:5" x14ac:dyDescent="0.25">
      <c r="E1321" s="3" t="str">
        <f t="shared" si="20"/>
        <v/>
      </c>
    </row>
    <row r="1322" spans="5:5" x14ac:dyDescent="0.25">
      <c r="E1322" s="3" t="str">
        <f t="shared" si="20"/>
        <v/>
      </c>
    </row>
    <row r="1323" spans="5:5" x14ac:dyDescent="0.25">
      <c r="E1323" s="3" t="str">
        <f t="shared" si="20"/>
        <v/>
      </c>
    </row>
    <row r="1324" spans="5:5" x14ac:dyDescent="0.25">
      <c r="E1324" s="3" t="str">
        <f t="shared" si="20"/>
        <v/>
      </c>
    </row>
    <row r="1325" spans="5:5" x14ac:dyDescent="0.25">
      <c r="E1325" s="3" t="str">
        <f t="shared" si="20"/>
        <v/>
      </c>
    </row>
    <row r="1326" spans="5:5" x14ac:dyDescent="0.25">
      <c r="E1326" s="3" t="str">
        <f t="shared" si="20"/>
        <v/>
      </c>
    </row>
    <row r="1327" spans="5:5" x14ac:dyDescent="0.25">
      <c r="E1327" s="3" t="str">
        <f t="shared" si="20"/>
        <v/>
      </c>
    </row>
    <row r="1328" spans="5:5" x14ac:dyDescent="0.25">
      <c r="E1328" s="3" t="str">
        <f t="shared" si="20"/>
        <v/>
      </c>
    </row>
    <row r="1329" spans="5:5" x14ac:dyDescent="0.25">
      <c r="E1329" s="3" t="str">
        <f t="shared" si="20"/>
        <v/>
      </c>
    </row>
    <row r="1330" spans="5:5" x14ac:dyDescent="0.25">
      <c r="E1330" s="3" t="str">
        <f t="shared" si="20"/>
        <v/>
      </c>
    </row>
    <row r="1331" spans="5:5" x14ac:dyDescent="0.25">
      <c r="E1331" s="3" t="str">
        <f t="shared" si="20"/>
        <v/>
      </c>
    </row>
    <row r="1332" spans="5:5" x14ac:dyDescent="0.25">
      <c r="E1332" s="3" t="str">
        <f t="shared" si="20"/>
        <v/>
      </c>
    </row>
    <row r="1333" spans="5:5" x14ac:dyDescent="0.25">
      <c r="E1333" s="3" t="str">
        <f t="shared" si="20"/>
        <v/>
      </c>
    </row>
    <row r="1334" spans="5:5" x14ac:dyDescent="0.25">
      <c r="E1334" s="3" t="str">
        <f t="shared" si="20"/>
        <v/>
      </c>
    </row>
    <row r="1335" spans="5:5" x14ac:dyDescent="0.25">
      <c r="E1335" s="3" t="str">
        <f t="shared" si="20"/>
        <v/>
      </c>
    </row>
    <row r="1336" spans="5:5" x14ac:dyDescent="0.25">
      <c r="E1336" s="3" t="str">
        <f t="shared" si="20"/>
        <v/>
      </c>
    </row>
    <row r="1337" spans="5:5" x14ac:dyDescent="0.25">
      <c r="E1337" s="3" t="str">
        <f t="shared" si="20"/>
        <v/>
      </c>
    </row>
    <row r="1338" spans="5:5" x14ac:dyDescent="0.25">
      <c r="E1338" s="3" t="str">
        <f t="shared" si="20"/>
        <v/>
      </c>
    </row>
    <row r="1339" spans="5:5" x14ac:dyDescent="0.25">
      <c r="E1339" s="3" t="str">
        <f t="shared" si="20"/>
        <v/>
      </c>
    </row>
    <row r="1340" spans="5:5" x14ac:dyDescent="0.25">
      <c r="E1340" s="3" t="str">
        <f t="shared" si="20"/>
        <v/>
      </c>
    </row>
    <row r="1341" spans="5:5" x14ac:dyDescent="0.25">
      <c r="E1341" s="3" t="str">
        <f t="shared" si="20"/>
        <v/>
      </c>
    </row>
    <row r="1342" spans="5:5" x14ac:dyDescent="0.25">
      <c r="E1342" s="3" t="str">
        <f t="shared" si="20"/>
        <v/>
      </c>
    </row>
    <row r="1343" spans="5:5" x14ac:dyDescent="0.25">
      <c r="E1343" s="3" t="str">
        <f t="shared" si="20"/>
        <v/>
      </c>
    </row>
    <row r="1344" spans="5:5" x14ac:dyDescent="0.25">
      <c r="E1344" s="3" t="str">
        <f t="shared" si="20"/>
        <v/>
      </c>
    </row>
    <row r="1345" spans="5:5" x14ac:dyDescent="0.25">
      <c r="E1345" s="3" t="str">
        <f t="shared" si="20"/>
        <v/>
      </c>
    </row>
    <row r="1346" spans="5:5" x14ac:dyDescent="0.25">
      <c r="E1346" s="3" t="str">
        <f t="shared" si="20"/>
        <v/>
      </c>
    </row>
    <row r="1347" spans="5:5" x14ac:dyDescent="0.25">
      <c r="E1347" s="3" t="str">
        <f t="shared" ref="E1347:E1410" si="21">IF(COUNTIF(C$3:C$5000,C1347)&gt;1,"DUPLICADO","")</f>
        <v/>
      </c>
    </row>
    <row r="1348" spans="5:5" x14ac:dyDescent="0.25">
      <c r="E1348" s="3" t="str">
        <f t="shared" si="21"/>
        <v/>
      </c>
    </row>
    <row r="1349" spans="5:5" x14ac:dyDescent="0.25">
      <c r="E1349" s="3" t="str">
        <f t="shared" si="21"/>
        <v/>
      </c>
    </row>
    <row r="1350" spans="5:5" x14ac:dyDescent="0.25">
      <c r="E1350" s="3" t="str">
        <f t="shared" si="21"/>
        <v/>
      </c>
    </row>
    <row r="1351" spans="5:5" x14ac:dyDescent="0.25">
      <c r="E1351" s="3" t="str">
        <f t="shared" si="21"/>
        <v/>
      </c>
    </row>
    <row r="1352" spans="5:5" x14ac:dyDescent="0.25">
      <c r="E1352" s="3" t="str">
        <f t="shared" si="21"/>
        <v/>
      </c>
    </row>
    <row r="1353" spans="5:5" x14ac:dyDescent="0.25">
      <c r="E1353" s="3" t="str">
        <f t="shared" si="21"/>
        <v/>
      </c>
    </row>
    <row r="1354" spans="5:5" x14ac:dyDescent="0.25">
      <c r="E1354" s="3" t="str">
        <f t="shared" si="21"/>
        <v/>
      </c>
    </row>
    <row r="1355" spans="5:5" x14ac:dyDescent="0.25">
      <c r="E1355" s="3" t="str">
        <f t="shared" si="21"/>
        <v/>
      </c>
    </row>
    <row r="1356" spans="5:5" x14ac:dyDescent="0.25">
      <c r="E1356" s="3" t="str">
        <f t="shared" si="21"/>
        <v/>
      </c>
    </row>
    <row r="1357" spans="5:5" x14ac:dyDescent="0.25">
      <c r="E1357" s="3" t="str">
        <f t="shared" si="21"/>
        <v/>
      </c>
    </row>
    <row r="1358" spans="5:5" x14ac:dyDescent="0.25">
      <c r="E1358" s="3" t="str">
        <f t="shared" si="21"/>
        <v/>
      </c>
    </row>
    <row r="1359" spans="5:5" x14ac:dyDescent="0.25">
      <c r="E1359" s="3" t="str">
        <f t="shared" si="21"/>
        <v/>
      </c>
    </row>
    <row r="1360" spans="5:5" x14ac:dyDescent="0.25">
      <c r="E1360" s="3" t="str">
        <f t="shared" si="21"/>
        <v/>
      </c>
    </row>
    <row r="1361" spans="5:5" x14ac:dyDescent="0.25">
      <c r="E1361" s="3" t="str">
        <f t="shared" si="21"/>
        <v/>
      </c>
    </row>
    <row r="1362" spans="5:5" x14ac:dyDescent="0.25">
      <c r="E1362" s="3" t="str">
        <f t="shared" si="21"/>
        <v/>
      </c>
    </row>
    <row r="1363" spans="5:5" x14ac:dyDescent="0.25">
      <c r="E1363" s="3" t="str">
        <f t="shared" si="21"/>
        <v/>
      </c>
    </row>
    <row r="1364" spans="5:5" x14ac:dyDescent="0.25">
      <c r="E1364" s="3" t="str">
        <f t="shared" si="21"/>
        <v/>
      </c>
    </row>
    <row r="1365" spans="5:5" x14ac:dyDescent="0.25">
      <c r="E1365" s="3" t="str">
        <f t="shared" si="21"/>
        <v/>
      </c>
    </row>
    <row r="1366" spans="5:5" x14ac:dyDescent="0.25">
      <c r="E1366" s="3" t="str">
        <f t="shared" si="21"/>
        <v/>
      </c>
    </row>
    <row r="1367" spans="5:5" x14ac:dyDescent="0.25">
      <c r="E1367" s="3" t="str">
        <f t="shared" si="21"/>
        <v/>
      </c>
    </row>
    <row r="1368" spans="5:5" x14ac:dyDescent="0.25">
      <c r="E1368" s="3" t="str">
        <f t="shared" si="21"/>
        <v/>
      </c>
    </row>
    <row r="1369" spans="5:5" x14ac:dyDescent="0.25">
      <c r="E1369" s="3" t="str">
        <f t="shared" si="21"/>
        <v/>
      </c>
    </row>
    <row r="1370" spans="5:5" x14ac:dyDescent="0.25">
      <c r="E1370" s="3" t="str">
        <f t="shared" si="21"/>
        <v/>
      </c>
    </row>
    <row r="1371" spans="5:5" x14ac:dyDescent="0.25">
      <c r="E1371" s="3" t="str">
        <f t="shared" si="21"/>
        <v/>
      </c>
    </row>
    <row r="1372" spans="5:5" x14ac:dyDescent="0.25">
      <c r="E1372" s="3" t="str">
        <f t="shared" si="21"/>
        <v/>
      </c>
    </row>
    <row r="1373" spans="5:5" x14ac:dyDescent="0.25">
      <c r="E1373" s="3" t="str">
        <f t="shared" si="21"/>
        <v/>
      </c>
    </row>
    <row r="1374" spans="5:5" x14ac:dyDescent="0.25">
      <c r="E1374" s="3" t="str">
        <f t="shared" si="21"/>
        <v/>
      </c>
    </row>
    <row r="1375" spans="5:5" x14ac:dyDescent="0.25">
      <c r="E1375" s="3" t="str">
        <f t="shared" si="21"/>
        <v/>
      </c>
    </row>
    <row r="1376" spans="5:5" x14ac:dyDescent="0.25">
      <c r="E1376" s="3" t="str">
        <f t="shared" si="21"/>
        <v/>
      </c>
    </row>
    <row r="1377" spans="5:5" x14ac:dyDescent="0.25">
      <c r="E1377" s="3" t="str">
        <f t="shared" si="21"/>
        <v/>
      </c>
    </row>
    <row r="1378" spans="5:5" x14ac:dyDescent="0.25">
      <c r="E1378" s="3" t="str">
        <f t="shared" si="21"/>
        <v/>
      </c>
    </row>
    <row r="1379" spans="5:5" x14ac:dyDescent="0.25">
      <c r="E1379" s="3" t="str">
        <f t="shared" si="21"/>
        <v/>
      </c>
    </row>
    <row r="1380" spans="5:5" x14ac:dyDescent="0.25">
      <c r="E1380" s="3" t="str">
        <f t="shared" si="21"/>
        <v/>
      </c>
    </row>
    <row r="1381" spans="5:5" x14ac:dyDescent="0.25">
      <c r="E1381" s="3" t="str">
        <f t="shared" si="21"/>
        <v/>
      </c>
    </row>
    <row r="1382" spans="5:5" x14ac:dyDescent="0.25">
      <c r="E1382" s="3" t="str">
        <f t="shared" si="21"/>
        <v/>
      </c>
    </row>
    <row r="1383" spans="5:5" x14ac:dyDescent="0.25">
      <c r="E1383" s="3" t="str">
        <f t="shared" si="21"/>
        <v/>
      </c>
    </row>
    <row r="1384" spans="5:5" x14ac:dyDescent="0.25">
      <c r="E1384" s="3" t="str">
        <f t="shared" si="21"/>
        <v/>
      </c>
    </row>
    <row r="1385" spans="5:5" x14ac:dyDescent="0.25">
      <c r="E1385" s="3" t="str">
        <f t="shared" si="21"/>
        <v/>
      </c>
    </row>
    <row r="1386" spans="5:5" x14ac:dyDescent="0.25">
      <c r="E1386" s="3" t="str">
        <f t="shared" si="21"/>
        <v/>
      </c>
    </row>
    <row r="1387" spans="5:5" x14ac:dyDescent="0.25">
      <c r="E1387" s="3" t="str">
        <f t="shared" si="21"/>
        <v/>
      </c>
    </row>
    <row r="1388" spans="5:5" x14ac:dyDescent="0.25">
      <c r="E1388" s="3" t="str">
        <f t="shared" si="21"/>
        <v/>
      </c>
    </row>
    <row r="1389" spans="5:5" x14ac:dyDescent="0.25">
      <c r="E1389" s="3" t="str">
        <f t="shared" si="21"/>
        <v/>
      </c>
    </row>
    <row r="1390" spans="5:5" x14ac:dyDescent="0.25">
      <c r="E1390" s="3" t="str">
        <f t="shared" si="21"/>
        <v/>
      </c>
    </row>
    <row r="1391" spans="5:5" x14ac:dyDescent="0.25">
      <c r="E1391" s="3" t="str">
        <f t="shared" si="21"/>
        <v/>
      </c>
    </row>
    <row r="1392" spans="5:5" x14ac:dyDescent="0.25">
      <c r="E1392" s="3" t="str">
        <f t="shared" si="21"/>
        <v/>
      </c>
    </row>
    <row r="1393" spans="5:5" x14ac:dyDescent="0.25">
      <c r="E1393" s="3" t="str">
        <f t="shared" si="21"/>
        <v/>
      </c>
    </row>
    <row r="1394" spans="5:5" x14ac:dyDescent="0.25">
      <c r="E1394" s="3" t="str">
        <f t="shared" si="21"/>
        <v/>
      </c>
    </row>
    <row r="1395" spans="5:5" x14ac:dyDescent="0.25">
      <c r="E1395" s="3" t="str">
        <f t="shared" si="21"/>
        <v/>
      </c>
    </row>
    <row r="1396" spans="5:5" x14ac:dyDescent="0.25">
      <c r="E1396" s="3" t="str">
        <f t="shared" si="21"/>
        <v/>
      </c>
    </row>
    <row r="1397" spans="5:5" x14ac:dyDescent="0.25">
      <c r="E1397" s="3" t="str">
        <f t="shared" si="21"/>
        <v/>
      </c>
    </row>
    <row r="1398" spans="5:5" x14ac:dyDescent="0.25">
      <c r="E1398" s="3" t="str">
        <f t="shared" si="21"/>
        <v/>
      </c>
    </row>
    <row r="1399" spans="5:5" x14ac:dyDescent="0.25">
      <c r="E1399" s="3" t="str">
        <f t="shared" si="21"/>
        <v/>
      </c>
    </row>
    <row r="1400" spans="5:5" x14ac:dyDescent="0.25">
      <c r="E1400" s="3" t="str">
        <f t="shared" si="21"/>
        <v/>
      </c>
    </row>
    <row r="1401" spans="5:5" x14ac:dyDescent="0.25">
      <c r="E1401" s="3" t="str">
        <f t="shared" si="21"/>
        <v/>
      </c>
    </row>
    <row r="1402" spans="5:5" x14ac:dyDescent="0.25">
      <c r="E1402" s="3" t="str">
        <f t="shared" si="21"/>
        <v/>
      </c>
    </row>
    <row r="1403" spans="5:5" x14ac:dyDescent="0.25">
      <c r="E1403" s="3" t="str">
        <f t="shared" si="21"/>
        <v/>
      </c>
    </row>
    <row r="1404" spans="5:5" x14ac:dyDescent="0.25">
      <c r="E1404" s="3" t="str">
        <f t="shared" si="21"/>
        <v/>
      </c>
    </row>
    <row r="1405" spans="5:5" x14ac:dyDescent="0.25">
      <c r="E1405" s="3" t="str">
        <f t="shared" si="21"/>
        <v/>
      </c>
    </row>
    <row r="1406" spans="5:5" x14ac:dyDescent="0.25">
      <c r="E1406" s="3" t="str">
        <f t="shared" si="21"/>
        <v/>
      </c>
    </row>
    <row r="1407" spans="5:5" x14ac:dyDescent="0.25">
      <c r="E1407" s="3" t="str">
        <f t="shared" si="21"/>
        <v/>
      </c>
    </row>
    <row r="1408" spans="5:5" x14ac:dyDescent="0.25">
      <c r="E1408" s="3" t="str">
        <f t="shared" si="21"/>
        <v/>
      </c>
    </row>
    <row r="1409" spans="5:5" x14ac:dyDescent="0.25">
      <c r="E1409" s="3" t="str">
        <f t="shared" si="21"/>
        <v/>
      </c>
    </row>
    <row r="1410" spans="5:5" x14ac:dyDescent="0.25">
      <c r="E1410" s="3" t="str">
        <f t="shared" si="21"/>
        <v/>
      </c>
    </row>
    <row r="1411" spans="5:5" x14ac:dyDescent="0.25">
      <c r="E1411" s="3" t="str">
        <f t="shared" ref="E1411:E1474" si="22">IF(COUNTIF(C$3:C$5000,C1411)&gt;1,"DUPLICADO","")</f>
        <v/>
      </c>
    </row>
    <row r="1412" spans="5:5" x14ac:dyDescent="0.25">
      <c r="E1412" s="3" t="str">
        <f t="shared" si="22"/>
        <v/>
      </c>
    </row>
    <row r="1413" spans="5:5" x14ac:dyDescent="0.25">
      <c r="E1413" s="3" t="str">
        <f t="shared" si="22"/>
        <v/>
      </c>
    </row>
    <row r="1414" spans="5:5" x14ac:dyDescent="0.25">
      <c r="E1414" s="3" t="str">
        <f t="shared" si="22"/>
        <v/>
      </c>
    </row>
    <row r="1415" spans="5:5" x14ac:dyDescent="0.25">
      <c r="E1415" s="3" t="str">
        <f t="shared" si="22"/>
        <v/>
      </c>
    </row>
    <row r="1416" spans="5:5" x14ac:dyDescent="0.25">
      <c r="E1416" s="3" t="str">
        <f t="shared" si="22"/>
        <v/>
      </c>
    </row>
    <row r="1417" spans="5:5" x14ac:dyDescent="0.25">
      <c r="E1417" s="3" t="str">
        <f t="shared" si="22"/>
        <v/>
      </c>
    </row>
    <row r="1418" spans="5:5" x14ac:dyDescent="0.25">
      <c r="E1418" s="3" t="str">
        <f t="shared" si="22"/>
        <v/>
      </c>
    </row>
    <row r="1419" spans="5:5" x14ac:dyDescent="0.25">
      <c r="E1419" s="3" t="str">
        <f t="shared" si="22"/>
        <v/>
      </c>
    </row>
    <row r="1420" spans="5:5" x14ac:dyDescent="0.25">
      <c r="E1420" s="3" t="str">
        <f t="shared" si="22"/>
        <v/>
      </c>
    </row>
    <row r="1421" spans="5:5" x14ac:dyDescent="0.25">
      <c r="E1421" s="3" t="str">
        <f t="shared" si="22"/>
        <v/>
      </c>
    </row>
    <row r="1422" spans="5:5" x14ac:dyDescent="0.25">
      <c r="E1422" s="3" t="str">
        <f t="shared" si="22"/>
        <v/>
      </c>
    </row>
    <row r="1423" spans="5:5" x14ac:dyDescent="0.25">
      <c r="E1423" s="3" t="str">
        <f t="shared" si="22"/>
        <v/>
      </c>
    </row>
    <row r="1424" spans="5:5" x14ac:dyDescent="0.25">
      <c r="E1424" s="3" t="str">
        <f t="shared" si="22"/>
        <v/>
      </c>
    </row>
    <row r="1425" spans="5:5" x14ac:dyDescent="0.25">
      <c r="E1425" s="3" t="str">
        <f t="shared" si="22"/>
        <v/>
      </c>
    </row>
    <row r="1426" spans="5:5" x14ac:dyDescent="0.25">
      <c r="E1426" s="3" t="str">
        <f t="shared" si="22"/>
        <v/>
      </c>
    </row>
    <row r="1427" spans="5:5" x14ac:dyDescent="0.25">
      <c r="E1427" s="3" t="str">
        <f t="shared" si="22"/>
        <v/>
      </c>
    </row>
    <row r="1428" spans="5:5" x14ac:dyDescent="0.25">
      <c r="E1428" s="3" t="str">
        <f t="shared" si="22"/>
        <v/>
      </c>
    </row>
    <row r="1429" spans="5:5" x14ac:dyDescent="0.25">
      <c r="E1429" s="3" t="str">
        <f t="shared" si="22"/>
        <v/>
      </c>
    </row>
    <row r="1430" spans="5:5" x14ac:dyDescent="0.25">
      <c r="E1430" s="3" t="str">
        <f t="shared" si="22"/>
        <v/>
      </c>
    </row>
    <row r="1431" spans="5:5" x14ac:dyDescent="0.25">
      <c r="E1431" s="3" t="str">
        <f t="shared" si="22"/>
        <v/>
      </c>
    </row>
    <row r="1432" spans="5:5" x14ac:dyDescent="0.25">
      <c r="E1432" s="3" t="str">
        <f t="shared" si="22"/>
        <v/>
      </c>
    </row>
    <row r="1433" spans="5:5" x14ac:dyDescent="0.25">
      <c r="E1433" s="3" t="str">
        <f t="shared" si="22"/>
        <v/>
      </c>
    </row>
    <row r="1434" spans="5:5" x14ac:dyDescent="0.25">
      <c r="E1434" s="3" t="str">
        <f t="shared" si="22"/>
        <v/>
      </c>
    </row>
    <row r="1435" spans="5:5" x14ac:dyDescent="0.25">
      <c r="E1435" s="3" t="str">
        <f t="shared" si="22"/>
        <v/>
      </c>
    </row>
    <row r="1436" spans="5:5" x14ac:dyDescent="0.25">
      <c r="E1436" s="3" t="str">
        <f t="shared" si="22"/>
        <v/>
      </c>
    </row>
    <row r="1437" spans="5:5" x14ac:dyDescent="0.25">
      <c r="E1437" s="3" t="str">
        <f t="shared" si="22"/>
        <v/>
      </c>
    </row>
    <row r="1438" spans="5:5" x14ac:dyDescent="0.25">
      <c r="E1438" s="3" t="str">
        <f t="shared" si="22"/>
        <v/>
      </c>
    </row>
    <row r="1439" spans="5:5" x14ac:dyDescent="0.25">
      <c r="E1439" s="3" t="str">
        <f t="shared" si="22"/>
        <v/>
      </c>
    </row>
    <row r="1440" spans="5:5" x14ac:dyDescent="0.25">
      <c r="E1440" s="3" t="str">
        <f t="shared" si="22"/>
        <v/>
      </c>
    </row>
    <row r="1441" spans="5:5" x14ac:dyDescent="0.25">
      <c r="E1441" s="3" t="str">
        <f t="shared" si="22"/>
        <v/>
      </c>
    </row>
    <row r="1442" spans="5:5" x14ac:dyDescent="0.25">
      <c r="E1442" s="3" t="str">
        <f t="shared" si="22"/>
        <v/>
      </c>
    </row>
    <row r="1443" spans="5:5" x14ac:dyDescent="0.25">
      <c r="E1443" s="3" t="str">
        <f t="shared" si="22"/>
        <v/>
      </c>
    </row>
    <row r="1444" spans="5:5" x14ac:dyDescent="0.25">
      <c r="E1444" s="3" t="str">
        <f t="shared" si="22"/>
        <v/>
      </c>
    </row>
    <row r="1445" spans="5:5" x14ac:dyDescent="0.25">
      <c r="E1445" s="3" t="str">
        <f t="shared" si="22"/>
        <v/>
      </c>
    </row>
    <row r="1446" spans="5:5" x14ac:dyDescent="0.25">
      <c r="E1446" s="3" t="str">
        <f t="shared" si="22"/>
        <v/>
      </c>
    </row>
    <row r="1447" spans="5:5" x14ac:dyDescent="0.25">
      <c r="E1447" s="3" t="str">
        <f t="shared" si="22"/>
        <v/>
      </c>
    </row>
    <row r="1448" spans="5:5" x14ac:dyDescent="0.25">
      <c r="E1448" s="3" t="str">
        <f t="shared" si="22"/>
        <v/>
      </c>
    </row>
    <row r="1449" spans="5:5" x14ac:dyDescent="0.25">
      <c r="E1449" s="3" t="str">
        <f t="shared" si="22"/>
        <v/>
      </c>
    </row>
    <row r="1450" spans="5:5" x14ac:dyDescent="0.25">
      <c r="E1450" s="3" t="str">
        <f t="shared" si="22"/>
        <v/>
      </c>
    </row>
    <row r="1451" spans="5:5" x14ac:dyDescent="0.25">
      <c r="E1451" s="3" t="str">
        <f t="shared" si="22"/>
        <v/>
      </c>
    </row>
    <row r="1452" spans="5:5" x14ac:dyDescent="0.25">
      <c r="E1452" s="3" t="str">
        <f t="shared" si="22"/>
        <v/>
      </c>
    </row>
    <row r="1453" spans="5:5" x14ac:dyDescent="0.25">
      <c r="E1453" s="3" t="str">
        <f t="shared" si="22"/>
        <v/>
      </c>
    </row>
    <row r="1454" spans="5:5" x14ac:dyDescent="0.25">
      <c r="E1454" s="3" t="str">
        <f t="shared" si="22"/>
        <v/>
      </c>
    </row>
    <row r="1455" spans="5:5" x14ac:dyDescent="0.25">
      <c r="E1455" s="3" t="str">
        <f t="shared" si="22"/>
        <v/>
      </c>
    </row>
    <row r="1456" spans="5:5" x14ac:dyDescent="0.25">
      <c r="E1456" s="3" t="str">
        <f t="shared" si="22"/>
        <v/>
      </c>
    </row>
    <row r="1457" spans="5:5" x14ac:dyDescent="0.25">
      <c r="E1457" s="3" t="str">
        <f t="shared" si="22"/>
        <v/>
      </c>
    </row>
    <row r="1458" spans="5:5" x14ac:dyDescent="0.25">
      <c r="E1458" s="3" t="str">
        <f t="shared" si="22"/>
        <v/>
      </c>
    </row>
    <row r="1459" spans="5:5" x14ac:dyDescent="0.25">
      <c r="E1459" s="3" t="str">
        <f t="shared" si="22"/>
        <v/>
      </c>
    </row>
    <row r="1460" spans="5:5" x14ac:dyDescent="0.25">
      <c r="E1460" s="3" t="str">
        <f t="shared" si="22"/>
        <v/>
      </c>
    </row>
    <row r="1461" spans="5:5" x14ac:dyDescent="0.25">
      <c r="E1461" s="3" t="str">
        <f t="shared" si="22"/>
        <v/>
      </c>
    </row>
    <row r="1462" spans="5:5" x14ac:dyDescent="0.25">
      <c r="E1462" s="3" t="str">
        <f t="shared" si="22"/>
        <v/>
      </c>
    </row>
    <row r="1463" spans="5:5" x14ac:dyDescent="0.25">
      <c r="E1463" s="3" t="str">
        <f t="shared" si="22"/>
        <v/>
      </c>
    </row>
    <row r="1464" spans="5:5" x14ac:dyDescent="0.25">
      <c r="E1464" s="3" t="str">
        <f t="shared" si="22"/>
        <v/>
      </c>
    </row>
    <row r="1465" spans="5:5" x14ac:dyDescent="0.25">
      <c r="E1465" s="3" t="str">
        <f t="shared" si="22"/>
        <v/>
      </c>
    </row>
    <row r="1466" spans="5:5" x14ac:dyDescent="0.25">
      <c r="E1466" s="3" t="str">
        <f t="shared" si="22"/>
        <v/>
      </c>
    </row>
    <row r="1467" spans="5:5" x14ac:dyDescent="0.25">
      <c r="E1467" s="3" t="str">
        <f t="shared" si="22"/>
        <v/>
      </c>
    </row>
    <row r="1468" spans="5:5" x14ac:dyDescent="0.25">
      <c r="E1468" s="3" t="str">
        <f t="shared" si="22"/>
        <v/>
      </c>
    </row>
    <row r="1469" spans="5:5" x14ac:dyDescent="0.25">
      <c r="E1469" s="3" t="str">
        <f t="shared" si="22"/>
        <v/>
      </c>
    </row>
    <row r="1470" spans="5:5" x14ac:dyDescent="0.25">
      <c r="E1470" s="3" t="str">
        <f t="shared" si="22"/>
        <v/>
      </c>
    </row>
    <row r="1471" spans="5:5" x14ac:dyDescent="0.25">
      <c r="E1471" s="3" t="str">
        <f t="shared" si="22"/>
        <v/>
      </c>
    </row>
    <row r="1472" spans="5:5" x14ac:dyDescent="0.25">
      <c r="E1472" s="3" t="str">
        <f t="shared" si="22"/>
        <v/>
      </c>
    </row>
    <row r="1473" spans="5:5" x14ac:dyDescent="0.25">
      <c r="E1473" s="3" t="str">
        <f t="shared" si="22"/>
        <v/>
      </c>
    </row>
    <row r="1474" spans="5:5" x14ac:dyDescent="0.25">
      <c r="E1474" s="3" t="str">
        <f t="shared" si="22"/>
        <v/>
      </c>
    </row>
    <row r="1475" spans="5:5" x14ac:dyDescent="0.25">
      <c r="E1475" s="3" t="str">
        <f t="shared" ref="E1475:E1538" si="23">IF(COUNTIF(C$3:C$5000,C1475)&gt;1,"DUPLICADO","")</f>
        <v/>
      </c>
    </row>
    <row r="1476" spans="5:5" x14ac:dyDescent="0.25">
      <c r="E1476" s="3" t="str">
        <f t="shared" si="23"/>
        <v/>
      </c>
    </row>
    <row r="1477" spans="5:5" x14ac:dyDescent="0.25">
      <c r="E1477" s="3" t="str">
        <f t="shared" si="23"/>
        <v/>
      </c>
    </row>
    <row r="1478" spans="5:5" x14ac:dyDescent="0.25">
      <c r="E1478" s="3" t="str">
        <f t="shared" si="23"/>
        <v/>
      </c>
    </row>
    <row r="1479" spans="5:5" x14ac:dyDescent="0.25">
      <c r="E1479" s="3" t="str">
        <f t="shared" si="23"/>
        <v/>
      </c>
    </row>
    <row r="1480" spans="5:5" x14ac:dyDescent="0.25">
      <c r="E1480" s="3" t="str">
        <f t="shared" si="23"/>
        <v/>
      </c>
    </row>
    <row r="1481" spans="5:5" x14ac:dyDescent="0.25">
      <c r="E1481" s="3" t="str">
        <f t="shared" si="23"/>
        <v/>
      </c>
    </row>
    <row r="1482" spans="5:5" x14ac:dyDescent="0.25">
      <c r="E1482" s="3" t="str">
        <f t="shared" si="23"/>
        <v/>
      </c>
    </row>
    <row r="1483" spans="5:5" x14ac:dyDescent="0.25">
      <c r="E1483" s="3" t="str">
        <f t="shared" si="23"/>
        <v/>
      </c>
    </row>
    <row r="1484" spans="5:5" x14ac:dyDescent="0.25">
      <c r="E1484" s="3" t="str">
        <f t="shared" si="23"/>
        <v/>
      </c>
    </row>
    <row r="1485" spans="5:5" x14ac:dyDescent="0.25">
      <c r="E1485" s="3" t="str">
        <f t="shared" si="23"/>
        <v/>
      </c>
    </row>
    <row r="1486" spans="5:5" x14ac:dyDescent="0.25">
      <c r="E1486" s="3" t="str">
        <f t="shared" si="23"/>
        <v/>
      </c>
    </row>
    <row r="1487" spans="5:5" x14ac:dyDescent="0.25">
      <c r="E1487" s="3" t="str">
        <f t="shared" si="23"/>
        <v/>
      </c>
    </row>
    <row r="1488" spans="5:5" x14ac:dyDescent="0.25">
      <c r="E1488" s="3" t="str">
        <f t="shared" si="23"/>
        <v/>
      </c>
    </row>
    <row r="1489" spans="5:5" x14ac:dyDescent="0.25">
      <c r="E1489" s="3" t="str">
        <f t="shared" si="23"/>
        <v/>
      </c>
    </row>
    <row r="1490" spans="5:5" x14ac:dyDescent="0.25">
      <c r="E1490" s="3" t="str">
        <f t="shared" si="23"/>
        <v/>
      </c>
    </row>
    <row r="1491" spans="5:5" x14ac:dyDescent="0.25">
      <c r="E1491" s="3" t="str">
        <f t="shared" si="23"/>
        <v/>
      </c>
    </row>
    <row r="1492" spans="5:5" x14ac:dyDescent="0.25">
      <c r="E1492" s="3" t="str">
        <f t="shared" si="23"/>
        <v/>
      </c>
    </row>
    <row r="1493" spans="5:5" x14ac:dyDescent="0.25">
      <c r="E1493" s="3" t="str">
        <f t="shared" si="23"/>
        <v/>
      </c>
    </row>
    <row r="1494" spans="5:5" x14ac:dyDescent="0.25">
      <c r="E1494" s="3" t="str">
        <f t="shared" si="23"/>
        <v/>
      </c>
    </row>
    <row r="1495" spans="5:5" x14ac:dyDescent="0.25">
      <c r="E1495" s="3" t="str">
        <f t="shared" si="23"/>
        <v/>
      </c>
    </row>
    <row r="1496" spans="5:5" x14ac:dyDescent="0.25">
      <c r="E1496" s="3" t="str">
        <f t="shared" si="23"/>
        <v/>
      </c>
    </row>
    <row r="1497" spans="5:5" x14ac:dyDescent="0.25">
      <c r="E1497" s="3" t="str">
        <f t="shared" si="23"/>
        <v/>
      </c>
    </row>
    <row r="1498" spans="5:5" x14ac:dyDescent="0.25">
      <c r="E1498" s="3" t="str">
        <f t="shared" si="23"/>
        <v/>
      </c>
    </row>
    <row r="1499" spans="5:5" x14ac:dyDescent="0.25">
      <c r="E1499" s="3" t="str">
        <f t="shared" si="23"/>
        <v/>
      </c>
    </row>
    <row r="1500" spans="5:5" x14ac:dyDescent="0.25">
      <c r="E1500" s="3" t="str">
        <f t="shared" si="23"/>
        <v/>
      </c>
    </row>
    <row r="1501" spans="5:5" x14ac:dyDescent="0.25">
      <c r="E1501" s="3" t="str">
        <f t="shared" si="23"/>
        <v/>
      </c>
    </row>
    <row r="1502" spans="5:5" x14ac:dyDescent="0.25">
      <c r="E1502" s="3" t="str">
        <f t="shared" si="23"/>
        <v/>
      </c>
    </row>
    <row r="1503" spans="5:5" x14ac:dyDescent="0.25">
      <c r="E1503" s="3" t="str">
        <f t="shared" si="23"/>
        <v/>
      </c>
    </row>
    <row r="1504" spans="5:5" x14ac:dyDescent="0.25">
      <c r="E1504" s="3" t="str">
        <f t="shared" si="23"/>
        <v/>
      </c>
    </row>
    <row r="1505" spans="5:5" x14ac:dyDescent="0.25">
      <c r="E1505" s="3" t="str">
        <f t="shared" si="23"/>
        <v/>
      </c>
    </row>
    <row r="1506" spans="5:5" x14ac:dyDescent="0.25">
      <c r="E1506" s="3" t="str">
        <f t="shared" si="23"/>
        <v/>
      </c>
    </row>
    <row r="1507" spans="5:5" x14ac:dyDescent="0.25">
      <c r="E1507" s="3" t="str">
        <f t="shared" si="23"/>
        <v/>
      </c>
    </row>
    <row r="1508" spans="5:5" x14ac:dyDescent="0.25">
      <c r="E1508" s="3" t="str">
        <f t="shared" si="23"/>
        <v/>
      </c>
    </row>
    <row r="1509" spans="5:5" x14ac:dyDescent="0.25">
      <c r="E1509" s="3" t="str">
        <f t="shared" si="23"/>
        <v/>
      </c>
    </row>
    <row r="1510" spans="5:5" x14ac:dyDescent="0.25">
      <c r="E1510" s="3" t="str">
        <f t="shared" si="23"/>
        <v/>
      </c>
    </row>
    <row r="1511" spans="5:5" x14ac:dyDescent="0.25">
      <c r="E1511" s="3" t="str">
        <f t="shared" si="23"/>
        <v/>
      </c>
    </row>
    <row r="1512" spans="5:5" x14ac:dyDescent="0.25">
      <c r="E1512" s="3" t="str">
        <f t="shared" si="23"/>
        <v/>
      </c>
    </row>
    <row r="1513" spans="5:5" x14ac:dyDescent="0.25">
      <c r="E1513" s="3" t="str">
        <f t="shared" si="23"/>
        <v/>
      </c>
    </row>
    <row r="1514" spans="5:5" x14ac:dyDescent="0.25">
      <c r="E1514" s="3" t="str">
        <f t="shared" si="23"/>
        <v/>
      </c>
    </row>
    <row r="1515" spans="5:5" x14ac:dyDescent="0.25">
      <c r="E1515" s="3" t="str">
        <f t="shared" si="23"/>
        <v/>
      </c>
    </row>
    <row r="1516" spans="5:5" x14ac:dyDescent="0.25">
      <c r="E1516" s="3" t="str">
        <f t="shared" si="23"/>
        <v/>
      </c>
    </row>
    <row r="1517" spans="5:5" x14ac:dyDescent="0.25">
      <c r="E1517" s="3" t="str">
        <f t="shared" si="23"/>
        <v/>
      </c>
    </row>
    <row r="1518" spans="5:5" x14ac:dyDescent="0.25">
      <c r="E1518" s="3" t="str">
        <f t="shared" si="23"/>
        <v/>
      </c>
    </row>
    <row r="1519" spans="5:5" x14ac:dyDescent="0.25">
      <c r="E1519" s="3" t="str">
        <f t="shared" si="23"/>
        <v/>
      </c>
    </row>
    <row r="1520" spans="5:5" x14ac:dyDescent="0.25">
      <c r="E1520" s="3" t="str">
        <f t="shared" si="23"/>
        <v/>
      </c>
    </row>
    <row r="1521" spans="5:5" x14ac:dyDescent="0.25">
      <c r="E1521" s="3" t="str">
        <f t="shared" si="23"/>
        <v/>
      </c>
    </row>
    <row r="1522" spans="5:5" x14ac:dyDescent="0.25">
      <c r="E1522" s="3" t="str">
        <f t="shared" si="23"/>
        <v/>
      </c>
    </row>
    <row r="1523" spans="5:5" x14ac:dyDescent="0.25">
      <c r="E1523" s="3" t="str">
        <f t="shared" si="23"/>
        <v/>
      </c>
    </row>
    <row r="1524" spans="5:5" x14ac:dyDescent="0.25">
      <c r="E1524" s="3" t="str">
        <f t="shared" si="23"/>
        <v/>
      </c>
    </row>
    <row r="1525" spans="5:5" x14ac:dyDescent="0.25">
      <c r="E1525" s="3" t="str">
        <f t="shared" si="23"/>
        <v/>
      </c>
    </row>
    <row r="1526" spans="5:5" x14ac:dyDescent="0.25">
      <c r="E1526" s="3" t="str">
        <f t="shared" si="23"/>
        <v/>
      </c>
    </row>
    <row r="1527" spans="5:5" x14ac:dyDescent="0.25">
      <c r="E1527" s="3" t="str">
        <f t="shared" si="23"/>
        <v/>
      </c>
    </row>
    <row r="1528" spans="5:5" x14ac:dyDescent="0.25">
      <c r="E1528" s="3" t="str">
        <f t="shared" si="23"/>
        <v/>
      </c>
    </row>
    <row r="1529" spans="5:5" x14ac:dyDescent="0.25">
      <c r="E1529" s="3" t="str">
        <f t="shared" si="23"/>
        <v/>
      </c>
    </row>
    <row r="1530" spans="5:5" x14ac:dyDescent="0.25">
      <c r="E1530" s="3" t="str">
        <f t="shared" si="23"/>
        <v/>
      </c>
    </row>
    <row r="1531" spans="5:5" x14ac:dyDescent="0.25">
      <c r="E1531" s="3" t="str">
        <f t="shared" si="23"/>
        <v/>
      </c>
    </row>
    <row r="1532" spans="5:5" x14ac:dyDescent="0.25">
      <c r="E1532" s="3" t="str">
        <f t="shared" si="23"/>
        <v/>
      </c>
    </row>
    <row r="1533" spans="5:5" x14ac:dyDescent="0.25">
      <c r="E1533" s="3" t="str">
        <f t="shared" si="23"/>
        <v/>
      </c>
    </row>
    <row r="1534" spans="5:5" x14ac:dyDescent="0.25">
      <c r="E1534" s="3" t="str">
        <f t="shared" si="23"/>
        <v/>
      </c>
    </row>
    <row r="1535" spans="5:5" x14ac:dyDescent="0.25">
      <c r="E1535" s="3" t="str">
        <f t="shared" si="23"/>
        <v/>
      </c>
    </row>
    <row r="1536" spans="5:5" x14ac:dyDescent="0.25">
      <c r="E1536" s="3" t="str">
        <f t="shared" si="23"/>
        <v/>
      </c>
    </row>
    <row r="1537" spans="5:5" x14ac:dyDescent="0.25">
      <c r="E1537" s="3" t="str">
        <f t="shared" si="23"/>
        <v/>
      </c>
    </row>
    <row r="1538" spans="5:5" x14ac:dyDescent="0.25">
      <c r="E1538" s="3" t="str">
        <f t="shared" si="23"/>
        <v/>
      </c>
    </row>
    <row r="1539" spans="5:5" x14ac:dyDescent="0.25">
      <c r="E1539" s="3" t="str">
        <f t="shared" ref="E1539:E1602" si="24">IF(COUNTIF(C$3:C$5000,C1539)&gt;1,"DUPLICADO","")</f>
        <v/>
      </c>
    </row>
    <row r="1540" spans="5:5" x14ac:dyDescent="0.25">
      <c r="E1540" s="3" t="str">
        <f t="shared" si="24"/>
        <v/>
      </c>
    </row>
    <row r="1541" spans="5:5" x14ac:dyDescent="0.25">
      <c r="E1541" s="3" t="str">
        <f t="shared" si="24"/>
        <v/>
      </c>
    </row>
    <row r="1542" spans="5:5" x14ac:dyDescent="0.25">
      <c r="E1542" s="3" t="str">
        <f t="shared" si="24"/>
        <v/>
      </c>
    </row>
    <row r="1543" spans="5:5" x14ac:dyDescent="0.25">
      <c r="E1543" s="3" t="str">
        <f t="shared" si="24"/>
        <v/>
      </c>
    </row>
    <row r="1544" spans="5:5" x14ac:dyDescent="0.25">
      <c r="E1544" s="3" t="str">
        <f t="shared" si="24"/>
        <v/>
      </c>
    </row>
    <row r="1545" spans="5:5" x14ac:dyDescent="0.25">
      <c r="E1545" s="3" t="str">
        <f t="shared" si="24"/>
        <v/>
      </c>
    </row>
    <row r="1546" spans="5:5" x14ac:dyDescent="0.25">
      <c r="E1546" s="3" t="str">
        <f t="shared" si="24"/>
        <v/>
      </c>
    </row>
    <row r="1547" spans="5:5" x14ac:dyDescent="0.25">
      <c r="E1547" s="3" t="str">
        <f t="shared" si="24"/>
        <v/>
      </c>
    </row>
    <row r="1548" spans="5:5" x14ac:dyDescent="0.25">
      <c r="E1548" s="3" t="str">
        <f t="shared" si="24"/>
        <v/>
      </c>
    </row>
    <row r="1549" spans="5:5" x14ac:dyDescent="0.25">
      <c r="E1549" s="3" t="str">
        <f t="shared" si="24"/>
        <v/>
      </c>
    </row>
    <row r="1550" spans="5:5" x14ac:dyDescent="0.25">
      <c r="E1550" s="3" t="str">
        <f t="shared" si="24"/>
        <v/>
      </c>
    </row>
    <row r="1551" spans="5:5" x14ac:dyDescent="0.25">
      <c r="E1551" s="3" t="str">
        <f t="shared" si="24"/>
        <v/>
      </c>
    </row>
    <row r="1552" spans="5:5" x14ac:dyDescent="0.25">
      <c r="E1552" s="3" t="str">
        <f t="shared" si="24"/>
        <v/>
      </c>
    </row>
    <row r="1553" spans="5:5" x14ac:dyDescent="0.25">
      <c r="E1553" s="3" t="str">
        <f t="shared" si="24"/>
        <v/>
      </c>
    </row>
    <row r="1554" spans="5:5" x14ac:dyDescent="0.25">
      <c r="E1554" s="3" t="str">
        <f t="shared" si="24"/>
        <v/>
      </c>
    </row>
    <row r="1555" spans="5:5" x14ac:dyDescent="0.25">
      <c r="E1555" s="3" t="str">
        <f t="shared" si="24"/>
        <v/>
      </c>
    </row>
    <row r="1556" spans="5:5" x14ac:dyDescent="0.25">
      <c r="E1556" s="3" t="str">
        <f t="shared" si="24"/>
        <v/>
      </c>
    </row>
    <row r="1557" spans="5:5" x14ac:dyDescent="0.25">
      <c r="E1557" s="3" t="str">
        <f t="shared" si="24"/>
        <v/>
      </c>
    </row>
    <row r="1558" spans="5:5" x14ac:dyDescent="0.25">
      <c r="E1558" s="3" t="str">
        <f t="shared" si="24"/>
        <v/>
      </c>
    </row>
    <row r="1559" spans="5:5" x14ac:dyDescent="0.25">
      <c r="E1559" s="3" t="str">
        <f t="shared" si="24"/>
        <v/>
      </c>
    </row>
    <row r="1560" spans="5:5" x14ac:dyDescent="0.25">
      <c r="E1560" s="3" t="str">
        <f t="shared" si="24"/>
        <v/>
      </c>
    </row>
    <row r="1561" spans="5:5" x14ac:dyDescent="0.25">
      <c r="E1561" s="3" t="str">
        <f t="shared" si="24"/>
        <v/>
      </c>
    </row>
    <row r="1562" spans="5:5" x14ac:dyDescent="0.25">
      <c r="E1562" s="3" t="str">
        <f t="shared" si="24"/>
        <v/>
      </c>
    </row>
    <row r="1563" spans="5:5" x14ac:dyDescent="0.25">
      <c r="E1563" s="3" t="str">
        <f t="shared" si="24"/>
        <v/>
      </c>
    </row>
    <row r="1564" spans="5:5" x14ac:dyDescent="0.25">
      <c r="E1564" s="3" t="str">
        <f t="shared" si="24"/>
        <v/>
      </c>
    </row>
    <row r="1565" spans="5:5" x14ac:dyDescent="0.25">
      <c r="E1565" s="3" t="str">
        <f t="shared" si="24"/>
        <v/>
      </c>
    </row>
    <row r="1566" spans="5:5" x14ac:dyDescent="0.25">
      <c r="E1566" s="3" t="str">
        <f t="shared" si="24"/>
        <v/>
      </c>
    </row>
    <row r="1567" spans="5:5" x14ac:dyDescent="0.25">
      <c r="E1567" s="3" t="str">
        <f t="shared" si="24"/>
        <v/>
      </c>
    </row>
    <row r="1568" spans="5:5" x14ac:dyDescent="0.25">
      <c r="E1568" s="3" t="str">
        <f t="shared" si="24"/>
        <v/>
      </c>
    </row>
    <row r="1569" spans="5:5" x14ac:dyDescent="0.25">
      <c r="E1569" s="3" t="str">
        <f t="shared" si="24"/>
        <v/>
      </c>
    </row>
    <row r="1570" spans="5:5" x14ac:dyDescent="0.25">
      <c r="E1570" s="3" t="str">
        <f t="shared" si="24"/>
        <v/>
      </c>
    </row>
    <row r="1571" spans="5:5" x14ac:dyDescent="0.25">
      <c r="E1571" s="3" t="str">
        <f t="shared" si="24"/>
        <v/>
      </c>
    </row>
    <row r="1572" spans="5:5" x14ac:dyDescent="0.25">
      <c r="E1572" s="3" t="str">
        <f t="shared" si="24"/>
        <v/>
      </c>
    </row>
    <row r="1573" spans="5:5" x14ac:dyDescent="0.25">
      <c r="E1573" s="3" t="str">
        <f t="shared" si="24"/>
        <v/>
      </c>
    </row>
    <row r="1574" spans="5:5" x14ac:dyDescent="0.25">
      <c r="E1574" s="3" t="str">
        <f t="shared" si="24"/>
        <v/>
      </c>
    </row>
    <row r="1575" spans="5:5" x14ac:dyDescent="0.25">
      <c r="E1575" s="3" t="str">
        <f t="shared" si="24"/>
        <v/>
      </c>
    </row>
    <row r="1576" spans="5:5" x14ac:dyDescent="0.25">
      <c r="E1576" s="3" t="str">
        <f t="shared" si="24"/>
        <v/>
      </c>
    </row>
    <row r="1577" spans="5:5" x14ac:dyDescent="0.25">
      <c r="E1577" s="3" t="str">
        <f t="shared" si="24"/>
        <v/>
      </c>
    </row>
    <row r="1578" spans="5:5" x14ac:dyDescent="0.25">
      <c r="E1578" s="3" t="str">
        <f t="shared" si="24"/>
        <v/>
      </c>
    </row>
    <row r="1579" spans="5:5" x14ac:dyDescent="0.25">
      <c r="E1579" s="3" t="str">
        <f t="shared" si="24"/>
        <v/>
      </c>
    </row>
    <row r="1580" spans="5:5" x14ac:dyDescent="0.25">
      <c r="E1580" s="3" t="str">
        <f t="shared" si="24"/>
        <v/>
      </c>
    </row>
    <row r="1581" spans="5:5" x14ac:dyDescent="0.25">
      <c r="E1581" s="3" t="str">
        <f t="shared" si="24"/>
        <v/>
      </c>
    </row>
    <row r="1582" spans="5:5" x14ac:dyDescent="0.25">
      <c r="E1582" s="3" t="str">
        <f t="shared" si="24"/>
        <v/>
      </c>
    </row>
    <row r="1583" spans="5:5" x14ac:dyDescent="0.25">
      <c r="E1583" s="3" t="str">
        <f t="shared" si="24"/>
        <v/>
      </c>
    </row>
    <row r="1584" spans="5:5" x14ac:dyDescent="0.25">
      <c r="E1584" s="3" t="str">
        <f t="shared" si="24"/>
        <v/>
      </c>
    </row>
    <row r="1585" spans="5:5" x14ac:dyDescent="0.25">
      <c r="E1585" s="3" t="str">
        <f t="shared" si="24"/>
        <v/>
      </c>
    </row>
    <row r="1586" spans="5:5" x14ac:dyDescent="0.25">
      <c r="E1586" s="3" t="str">
        <f t="shared" si="24"/>
        <v/>
      </c>
    </row>
    <row r="1587" spans="5:5" x14ac:dyDescent="0.25">
      <c r="E1587" s="3" t="str">
        <f t="shared" si="24"/>
        <v/>
      </c>
    </row>
    <row r="1588" spans="5:5" x14ac:dyDescent="0.25">
      <c r="E1588" s="3" t="str">
        <f t="shared" si="24"/>
        <v/>
      </c>
    </row>
    <row r="1589" spans="5:5" x14ac:dyDescent="0.25">
      <c r="E1589" s="3" t="str">
        <f t="shared" si="24"/>
        <v/>
      </c>
    </row>
    <row r="1590" spans="5:5" x14ac:dyDescent="0.25">
      <c r="E1590" s="3" t="str">
        <f t="shared" si="24"/>
        <v/>
      </c>
    </row>
    <row r="1591" spans="5:5" x14ac:dyDescent="0.25">
      <c r="E1591" s="3" t="str">
        <f t="shared" si="24"/>
        <v/>
      </c>
    </row>
    <row r="1592" spans="5:5" x14ac:dyDescent="0.25">
      <c r="E1592" s="3" t="str">
        <f t="shared" si="24"/>
        <v/>
      </c>
    </row>
    <row r="1593" spans="5:5" x14ac:dyDescent="0.25">
      <c r="E1593" s="3" t="str">
        <f t="shared" si="24"/>
        <v/>
      </c>
    </row>
    <row r="1594" spans="5:5" x14ac:dyDescent="0.25">
      <c r="E1594" s="3" t="str">
        <f t="shared" si="24"/>
        <v/>
      </c>
    </row>
    <row r="1595" spans="5:5" x14ac:dyDescent="0.25">
      <c r="E1595" s="3" t="str">
        <f t="shared" si="24"/>
        <v/>
      </c>
    </row>
    <row r="1596" spans="5:5" x14ac:dyDescent="0.25">
      <c r="E1596" s="3" t="str">
        <f t="shared" si="24"/>
        <v/>
      </c>
    </row>
    <row r="1597" spans="5:5" x14ac:dyDescent="0.25">
      <c r="E1597" s="3" t="str">
        <f t="shared" si="24"/>
        <v/>
      </c>
    </row>
    <row r="1598" spans="5:5" x14ac:dyDescent="0.25">
      <c r="E1598" s="3" t="str">
        <f t="shared" si="24"/>
        <v/>
      </c>
    </row>
    <row r="1599" spans="5:5" x14ac:dyDescent="0.25">
      <c r="E1599" s="3" t="str">
        <f t="shared" si="24"/>
        <v/>
      </c>
    </row>
    <row r="1600" spans="5:5" x14ac:dyDescent="0.25">
      <c r="E1600" s="3" t="str">
        <f t="shared" si="24"/>
        <v/>
      </c>
    </row>
    <row r="1601" spans="5:5" x14ac:dyDescent="0.25">
      <c r="E1601" s="3" t="str">
        <f t="shared" si="24"/>
        <v/>
      </c>
    </row>
    <row r="1602" spans="5:5" x14ac:dyDescent="0.25">
      <c r="E1602" s="3" t="str">
        <f t="shared" si="24"/>
        <v/>
      </c>
    </row>
    <row r="1603" spans="5:5" x14ac:dyDescent="0.25">
      <c r="E1603" s="3" t="str">
        <f t="shared" ref="E1603:E1666" si="25">IF(COUNTIF(C$3:C$5000,C1603)&gt;1,"DUPLICADO","")</f>
        <v/>
      </c>
    </row>
    <row r="1604" spans="5:5" x14ac:dyDescent="0.25">
      <c r="E1604" s="3" t="str">
        <f t="shared" si="25"/>
        <v/>
      </c>
    </row>
    <row r="1605" spans="5:5" x14ac:dyDescent="0.25">
      <c r="E1605" s="3" t="str">
        <f t="shared" si="25"/>
        <v/>
      </c>
    </row>
    <row r="1606" spans="5:5" x14ac:dyDescent="0.25">
      <c r="E1606" s="3" t="str">
        <f t="shared" si="25"/>
        <v/>
      </c>
    </row>
    <row r="1607" spans="5:5" x14ac:dyDescent="0.25">
      <c r="E1607" s="3" t="str">
        <f t="shared" si="25"/>
        <v/>
      </c>
    </row>
    <row r="1608" spans="5:5" x14ac:dyDescent="0.25">
      <c r="E1608" s="3" t="str">
        <f t="shared" si="25"/>
        <v/>
      </c>
    </row>
    <row r="1609" spans="5:5" x14ac:dyDescent="0.25">
      <c r="E1609" s="3" t="str">
        <f t="shared" si="25"/>
        <v/>
      </c>
    </row>
    <row r="1610" spans="5:5" x14ac:dyDescent="0.25">
      <c r="E1610" s="3" t="str">
        <f t="shared" si="25"/>
        <v/>
      </c>
    </row>
    <row r="1611" spans="5:5" x14ac:dyDescent="0.25">
      <c r="E1611" s="3" t="str">
        <f t="shared" si="25"/>
        <v/>
      </c>
    </row>
    <row r="1612" spans="5:5" x14ac:dyDescent="0.25">
      <c r="E1612" s="3" t="str">
        <f t="shared" si="25"/>
        <v/>
      </c>
    </row>
    <row r="1613" spans="5:5" x14ac:dyDescent="0.25">
      <c r="E1613" s="3" t="str">
        <f t="shared" si="25"/>
        <v/>
      </c>
    </row>
    <row r="1614" spans="5:5" x14ac:dyDescent="0.25">
      <c r="E1614" s="3" t="str">
        <f t="shared" si="25"/>
        <v/>
      </c>
    </row>
    <row r="1615" spans="5:5" x14ac:dyDescent="0.25">
      <c r="E1615" s="3" t="str">
        <f t="shared" si="25"/>
        <v/>
      </c>
    </row>
    <row r="1616" spans="5:5" x14ac:dyDescent="0.25">
      <c r="E1616" s="3" t="str">
        <f t="shared" si="25"/>
        <v/>
      </c>
    </row>
    <row r="1617" spans="5:5" x14ac:dyDescent="0.25">
      <c r="E1617" s="3" t="str">
        <f t="shared" si="25"/>
        <v/>
      </c>
    </row>
    <row r="1618" spans="5:5" x14ac:dyDescent="0.25">
      <c r="E1618" s="3" t="str">
        <f t="shared" si="25"/>
        <v/>
      </c>
    </row>
    <row r="1619" spans="5:5" x14ac:dyDescent="0.25">
      <c r="E1619" s="3" t="str">
        <f t="shared" si="25"/>
        <v/>
      </c>
    </row>
    <row r="1620" spans="5:5" x14ac:dyDescent="0.25">
      <c r="E1620" s="3" t="str">
        <f t="shared" si="25"/>
        <v/>
      </c>
    </row>
    <row r="1621" spans="5:5" x14ac:dyDescent="0.25">
      <c r="E1621" s="3" t="str">
        <f t="shared" si="25"/>
        <v/>
      </c>
    </row>
    <row r="1622" spans="5:5" x14ac:dyDescent="0.25">
      <c r="E1622" s="3" t="str">
        <f t="shared" si="25"/>
        <v/>
      </c>
    </row>
    <row r="1623" spans="5:5" x14ac:dyDescent="0.25">
      <c r="E1623" s="3" t="str">
        <f t="shared" si="25"/>
        <v/>
      </c>
    </row>
    <row r="1624" spans="5:5" x14ac:dyDescent="0.25">
      <c r="E1624" s="3" t="str">
        <f t="shared" si="25"/>
        <v/>
      </c>
    </row>
    <row r="1625" spans="5:5" x14ac:dyDescent="0.25">
      <c r="E1625" s="3" t="str">
        <f t="shared" si="25"/>
        <v/>
      </c>
    </row>
    <row r="1626" spans="5:5" x14ac:dyDescent="0.25">
      <c r="E1626" s="3" t="str">
        <f t="shared" si="25"/>
        <v/>
      </c>
    </row>
    <row r="1627" spans="5:5" x14ac:dyDescent="0.25">
      <c r="E1627" s="3" t="str">
        <f t="shared" si="25"/>
        <v/>
      </c>
    </row>
    <row r="1628" spans="5:5" x14ac:dyDescent="0.25">
      <c r="E1628" s="3" t="str">
        <f t="shared" si="25"/>
        <v/>
      </c>
    </row>
    <row r="1629" spans="5:5" x14ac:dyDescent="0.25">
      <c r="E1629" s="3" t="str">
        <f t="shared" si="25"/>
        <v/>
      </c>
    </row>
    <row r="1630" spans="5:5" x14ac:dyDescent="0.25">
      <c r="E1630" s="3" t="str">
        <f t="shared" si="25"/>
        <v/>
      </c>
    </row>
    <row r="1631" spans="5:5" x14ac:dyDescent="0.25">
      <c r="E1631" s="3" t="str">
        <f t="shared" si="25"/>
        <v/>
      </c>
    </row>
    <row r="1632" spans="5:5" x14ac:dyDescent="0.25">
      <c r="E1632" s="3" t="str">
        <f t="shared" si="25"/>
        <v/>
      </c>
    </row>
    <row r="1633" spans="5:5" x14ac:dyDescent="0.25">
      <c r="E1633" s="3" t="str">
        <f t="shared" si="25"/>
        <v/>
      </c>
    </row>
    <row r="1634" spans="5:5" x14ac:dyDescent="0.25">
      <c r="E1634" s="3" t="str">
        <f t="shared" si="25"/>
        <v/>
      </c>
    </row>
    <row r="1635" spans="5:5" x14ac:dyDescent="0.25">
      <c r="E1635" s="3" t="str">
        <f t="shared" si="25"/>
        <v/>
      </c>
    </row>
    <row r="1636" spans="5:5" x14ac:dyDescent="0.25">
      <c r="E1636" s="3" t="str">
        <f t="shared" si="25"/>
        <v/>
      </c>
    </row>
    <row r="1637" spans="5:5" x14ac:dyDescent="0.25">
      <c r="E1637" s="3" t="str">
        <f t="shared" si="25"/>
        <v/>
      </c>
    </row>
    <row r="1638" spans="5:5" x14ac:dyDescent="0.25">
      <c r="E1638" s="3" t="str">
        <f t="shared" si="25"/>
        <v/>
      </c>
    </row>
    <row r="1639" spans="5:5" x14ac:dyDescent="0.25">
      <c r="E1639" s="3" t="str">
        <f t="shared" si="25"/>
        <v/>
      </c>
    </row>
    <row r="1640" spans="5:5" x14ac:dyDescent="0.25">
      <c r="E1640" s="3" t="str">
        <f t="shared" si="25"/>
        <v/>
      </c>
    </row>
    <row r="1641" spans="5:5" x14ac:dyDescent="0.25">
      <c r="E1641" s="3" t="str">
        <f t="shared" si="25"/>
        <v/>
      </c>
    </row>
    <row r="1642" spans="5:5" x14ac:dyDescent="0.25">
      <c r="E1642" s="3" t="str">
        <f t="shared" si="25"/>
        <v/>
      </c>
    </row>
    <row r="1643" spans="5:5" x14ac:dyDescent="0.25">
      <c r="E1643" s="3" t="str">
        <f t="shared" si="25"/>
        <v/>
      </c>
    </row>
    <row r="1644" spans="5:5" x14ac:dyDescent="0.25">
      <c r="E1644" s="3" t="str">
        <f t="shared" si="25"/>
        <v/>
      </c>
    </row>
    <row r="1645" spans="5:5" x14ac:dyDescent="0.25">
      <c r="E1645" s="3" t="str">
        <f t="shared" si="25"/>
        <v/>
      </c>
    </row>
    <row r="1646" spans="5:5" x14ac:dyDescent="0.25">
      <c r="E1646" s="3" t="str">
        <f t="shared" si="25"/>
        <v/>
      </c>
    </row>
    <row r="1647" spans="5:5" x14ac:dyDescent="0.25">
      <c r="E1647" s="3" t="str">
        <f t="shared" si="25"/>
        <v/>
      </c>
    </row>
    <row r="1648" spans="5:5" x14ac:dyDescent="0.25">
      <c r="E1648" s="3" t="str">
        <f t="shared" si="25"/>
        <v/>
      </c>
    </row>
    <row r="1649" spans="5:5" x14ac:dyDescent="0.25">
      <c r="E1649" s="3" t="str">
        <f t="shared" si="25"/>
        <v/>
      </c>
    </row>
    <row r="1650" spans="5:5" x14ac:dyDescent="0.25">
      <c r="E1650" s="3" t="str">
        <f t="shared" si="25"/>
        <v/>
      </c>
    </row>
    <row r="1651" spans="5:5" x14ac:dyDescent="0.25">
      <c r="E1651" s="3" t="str">
        <f t="shared" si="25"/>
        <v/>
      </c>
    </row>
    <row r="1652" spans="5:5" x14ac:dyDescent="0.25">
      <c r="E1652" s="3" t="str">
        <f t="shared" si="25"/>
        <v/>
      </c>
    </row>
    <row r="1653" spans="5:5" x14ac:dyDescent="0.25">
      <c r="E1653" s="3" t="str">
        <f t="shared" si="25"/>
        <v/>
      </c>
    </row>
    <row r="1654" spans="5:5" x14ac:dyDescent="0.25">
      <c r="E1654" s="3" t="str">
        <f t="shared" si="25"/>
        <v/>
      </c>
    </row>
    <row r="1655" spans="5:5" x14ac:dyDescent="0.25">
      <c r="E1655" s="3" t="str">
        <f t="shared" si="25"/>
        <v/>
      </c>
    </row>
    <row r="1656" spans="5:5" x14ac:dyDescent="0.25">
      <c r="E1656" s="3" t="str">
        <f t="shared" si="25"/>
        <v/>
      </c>
    </row>
    <row r="1657" spans="5:5" x14ac:dyDescent="0.25">
      <c r="E1657" s="3" t="str">
        <f t="shared" si="25"/>
        <v/>
      </c>
    </row>
    <row r="1658" spans="5:5" x14ac:dyDescent="0.25">
      <c r="E1658" s="3" t="str">
        <f t="shared" si="25"/>
        <v/>
      </c>
    </row>
    <row r="1659" spans="5:5" x14ac:dyDescent="0.25">
      <c r="E1659" s="3" t="str">
        <f t="shared" si="25"/>
        <v/>
      </c>
    </row>
    <row r="1660" spans="5:5" x14ac:dyDescent="0.25">
      <c r="E1660" s="3" t="str">
        <f t="shared" si="25"/>
        <v/>
      </c>
    </row>
    <row r="1661" spans="5:5" x14ac:dyDescent="0.25">
      <c r="E1661" s="3" t="str">
        <f t="shared" si="25"/>
        <v/>
      </c>
    </row>
    <row r="1662" spans="5:5" x14ac:dyDescent="0.25">
      <c r="E1662" s="3" t="str">
        <f t="shared" si="25"/>
        <v/>
      </c>
    </row>
    <row r="1663" spans="5:5" x14ac:dyDescent="0.25">
      <c r="E1663" s="3" t="str">
        <f t="shared" si="25"/>
        <v/>
      </c>
    </row>
    <row r="1664" spans="5:5" x14ac:dyDescent="0.25">
      <c r="E1664" s="3" t="str">
        <f t="shared" si="25"/>
        <v/>
      </c>
    </row>
    <row r="1665" spans="5:5" x14ac:dyDescent="0.25">
      <c r="E1665" s="3" t="str">
        <f t="shared" si="25"/>
        <v/>
      </c>
    </row>
    <row r="1666" spans="5:5" x14ac:dyDescent="0.25">
      <c r="E1666" s="3" t="str">
        <f t="shared" si="25"/>
        <v/>
      </c>
    </row>
    <row r="1667" spans="5:5" x14ac:dyDescent="0.25">
      <c r="E1667" s="3" t="str">
        <f t="shared" ref="E1667:E1730" si="26">IF(COUNTIF(C$3:C$5000,C1667)&gt;1,"DUPLICADO","")</f>
        <v/>
      </c>
    </row>
    <row r="1668" spans="5:5" x14ac:dyDescent="0.25">
      <c r="E1668" s="3" t="str">
        <f t="shared" si="26"/>
        <v/>
      </c>
    </row>
    <row r="1669" spans="5:5" x14ac:dyDescent="0.25">
      <c r="E1669" s="3" t="str">
        <f t="shared" si="26"/>
        <v/>
      </c>
    </row>
    <row r="1670" spans="5:5" x14ac:dyDescent="0.25">
      <c r="E1670" s="3" t="str">
        <f t="shared" si="26"/>
        <v/>
      </c>
    </row>
    <row r="1671" spans="5:5" x14ac:dyDescent="0.25">
      <c r="E1671" s="3" t="str">
        <f t="shared" si="26"/>
        <v/>
      </c>
    </row>
    <row r="1672" spans="5:5" x14ac:dyDescent="0.25">
      <c r="E1672" s="3" t="str">
        <f t="shared" si="26"/>
        <v/>
      </c>
    </row>
    <row r="1673" spans="5:5" x14ac:dyDescent="0.25">
      <c r="E1673" s="3" t="str">
        <f t="shared" si="26"/>
        <v/>
      </c>
    </row>
    <row r="1674" spans="5:5" x14ac:dyDescent="0.25">
      <c r="E1674" s="3" t="str">
        <f t="shared" si="26"/>
        <v/>
      </c>
    </row>
    <row r="1675" spans="5:5" x14ac:dyDescent="0.25">
      <c r="E1675" s="3" t="str">
        <f t="shared" si="26"/>
        <v/>
      </c>
    </row>
    <row r="1676" spans="5:5" x14ac:dyDescent="0.25">
      <c r="E1676" s="3" t="str">
        <f t="shared" si="26"/>
        <v/>
      </c>
    </row>
    <row r="1677" spans="5:5" x14ac:dyDescent="0.25">
      <c r="E1677" s="3" t="str">
        <f t="shared" si="26"/>
        <v/>
      </c>
    </row>
    <row r="1678" spans="5:5" x14ac:dyDescent="0.25">
      <c r="E1678" s="3" t="str">
        <f t="shared" si="26"/>
        <v/>
      </c>
    </row>
    <row r="1679" spans="5:5" x14ac:dyDescent="0.25">
      <c r="E1679" s="3" t="str">
        <f t="shared" si="26"/>
        <v/>
      </c>
    </row>
    <row r="1680" spans="5:5" x14ac:dyDescent="0.25">
      <c r="E1680" s="3" t="str">
        <f t="shared" si="26"/>
        <v/>
      </c>
    </row>
    <row r="1681" spans="5:5" x14ac:dyDescent="0.25">
      <c r="E1681" s="3" t="str">
        <f t="shared" si="26"/>
        <v/>
      </c>
    </row>
    <row r="1682" spans="5:5" x14ac:dyDescent="0.25">
      <c r="E1682" s="3" t="str">
        <f t="shared" si="26"/>
        <v/>
      </c>
    </row>
    <row r="1683" spans="5:5" x14ac:dyDescent="0.25">
      <c r="E1683" s="3" t="str">
        <f t="shared" si="26"/>
        <v/>
      </c>
    </row>
    <row r="1684" spans="5:5" x14ac:dyDescent="0.25">
      <c r="E1684" s="3" t="str">
        <f t="shared" si="26"/>
        <v/>
      </c>
    </row>
    <row r="1685" spans="5:5" x14ac:dyDescent="0.25">
      <c r="E1685" s="3" t="str">
        <f t="shared" si="26"/>
        <v/>
      </c>
    </row>
    <row r="1686" spans="5:5" x14ac:dyDescent="0.25">
      <c r="E1686" s="3" t="str">
        <f t="shared" si="26"/>
        <v/>
      </c>
    </row>
    <row r="1687" spans="5:5" x14ac:dyDescent="0.25">
      <c r="E1687" s="3" t="str">
        <f t="shared" si="26"/>
        <v/>
      </c>
    </row>
    <row r="1688" spans="5:5" x14ac:dyDescent="0.25">
      <c r="E1688" s="3" t="str">
        <f t="shared" si="26"/>
        <v/>
      </c>
    </row>
    <row r="1689" spans="5:5" x14ac:dyDescent="0.25">
      <c r="E1689" s="3" t="str">
        <f t="shared" si="26"/>
        <v/>
      </c>
    </row>
    <row r="1690" spans="5:5" x14ac:dyDescent="0.25">
      <c r="E1690" s="3" t="str">
        <f t="shared" si="26"/>
        <v/>
      </c>
    </row>
    <row r="1691" spans="5:5" x14ac:dyDescent="0.25">
      <c r="E1691" s="3" t="str">
        <f t="shared" si="26"/>
        <v/>
      </c>
    </row>
    <row r="1692" spans="5:5" x14ac:dyDescent="0.25">
      <c r="E1692" s="3" t="str">
        <f t="shared" si="26"/>
        <v/>
      </c>
    </row>
    <row r="1693" spans="5:5" x14ac:dyDescent="0.25">
      <c r="E1693" s="3" t="str">
        <f t="shared" si="26"/>
        <v/>
      </c>
    </row>
    <row r="1694" spans="5:5" x14ac:dyDescent="0.25">
      <c r="E1694" s="3" t="str">
        <f t="shared" si="26"/>
        <v/>
      </c>
    </row>
    <row r="1695" spans="5:5" x14ac:dyDescent="0.25">
      <c r="E1695" s="3" t="str">
        <f t="shared" si="26"/>
        <v/>
      </c>
    </row>
    <row r="1696" spans="5:5" x14ac:dyDescent="0.25">
      <c r="E1696" s="3" t="str">
        <f t="shared" si="26"/>
        <v/>
      </c>
    </row>
    <row r="1697" spans="5:5" x14ac:dyDescent="0.25">
      <c r="E1697" s="3" t="str">
        <f t="shared" si="26"/>
        <v/>
      </c>
    </row>
    <row r="1698" spans="5:5" x14ac:dyDescent="0.25">
      <c r="E1698" s="3" t="str">
        <f t="shared" si="26"/>
        <v/>
      </c>
    </row>
    <row r="1699" spans="5:5" x14ac:dyDescent="0.25">
      <c r="E1699" s="3" t="str">
        <f t="shared" si="26"/>
        <v/>
      </c>
    </row>
    <row r="1700" spans="5:5" x14ac:dyDescent="0.25">
      <c r="E1700" s="3" t="str">
        <f t="shared" si="26"/>
        <v/>
      </c>
    </row>
    <row r="1701" spans="5:5" x14ac:dyDescent="0.25">
      <c r="E1701" s="3" t="str">
        <f t="shared" si="26"/>
        <v/>
      </c>
    </row>
    <row r="1702" spans="5:5" x14ac:dyDescent="0.25">
      <c r="E1702" s="3" t="str">
        <f t="shared" si="26"/>
        <v/>
      </c>
    </row>
    <row r="1703" spans="5:5" x14ac:dyDescent="0.25">
      <c r="E1703" s="3" t="str">
        <f t="shared" si="26"/>
        <v/>
      </c>
    </row>
    <row r="1704" spans="5:5" x14ac:dyDescent="0.25">
      <c r="E1704" s="3" t="str">
        <f t="shared" si="26"/>
        <v/>
      </c>
    </row>
    <row r="1705" spans="5:5" x14ac:dyDescent="0.25">
      <c r="E1705" s="3" t="str">
        <f t="shared" si="26"/>
        <v/>
      </c>
    </row>
    <row r="1706" spans="5:5" x14ac:dyDescent="0.25">
      <c r="E1706" s="3" t="str">
        <f t="shared" si="26"/>
        <v/>
      </c>
    </row>
    <row r="1707" spans="5:5" x14ac:dyDescent="0.25">
      <c r="E1707" s="3" t="str">
        <f t="shared" si="26"/>
        <v/>
      </c>
    </row>
    <row r="1708" spans="5:5" x14ac:dyDescent="0.25">
      <c r="E1708" s="3" t="str">
        <f t="shared" si="26"/>
        <v/>
      </c>
    </row>
    <row r="1709" spans="5:5" x14ac:dyDescent="0.25">
      <c r="E1709" s="3" t="str">
        <f t="shared" si="26"/>
        <v/>
      </c>
    </row>
    <row r="1710" spans="5:5" x14ac:dyDescent="0.25">
      <c r="E1710" s="3" t="str">
        <f t="shared" si="26"/>
        <v/>
      </c>
    </row>
    <row r="1711" spans="5:5" x14ac:dyDescent="0.25">
      <c r="E1711" s="3" t="str">
        <f t="shared" si="26"/>
        <v/>
      </c>
    </row>
    <row r="1712" spans="5:5" x14ac:dyDescent="0.25">
      <c r="E1712" s="3" t="str">
        <f t="shared" si="26"/>
        <v/>
      </c>
    </row>
    <row r="1713" spans="5:5" x14ac:dyDescent="0.25">
      <c r="E1713" s="3" t="str">
        <f t="shared" si="26"/>
        <v/>
      </c>
    </row>
    <row r="1714" spans="5:5" x14ac:dyDescent="0.25">
      <c r="E1714" s="3" t="str">
        <f t="shared" si="26"/>
        <v/>
      </c>
    </row>
    <row r="1715" spans="5:5" x14ac:dyDescent="0.25">
      <c r="E1715" s="3" t="str">
        <f t="shared" si="26"/>
        <v/>
      </c>
    </row>
    <row r="1716" spans="5:5" x14ac:dyDescent="0.25">
      <c r="E1716" s="3" t="str">
        <f t="shared" si="26"/>
        <v/>
      </c>
    </row>
    <row r="1717" spans="5:5" x14ac:dyDescent="0.25">
      <c r="E1717" s="3" t="str">
        <f t="shared" si="26"/>
        <v/>
      </c>
    </row>
    <row r="1718" spans="5:5" x14ac:dyDescent="0.25">
      <c r="E1718" s="3" t="str">
        <f t="shared" si="26"/>
        <v/>
      </c>
    </row>
    <row r="1719" spans="5:5" x14ac:dyDescent="0.25">
      <c r="E1719" s="3" t="str">
        <f t="shared" si="26"/>
        <v/>
      </c>
    </row>
    <row r="1720" spans="5:5" x14ac:dyDescent="0.25">
      <c r="E1720" s="3" t="str">
        <f t="shared" si="26"/>
        <v/>
      </c>
    </row>
    <row r="1721" spans="5:5" x14ac:dyDescent="0.25">
      <c r="E1721" s="3" t="str">
        <f t="shared" si="26"/>
        <v/>
      </c>
    </row>
    <row r="1722" spans="5:5" x14ac:dyDescent="0.25">
      <c r="E1722" s="3" t="str">
        <f t="shared" si="26"/>
        <v/>
      </c>
    </row>
    <row r="1723" spans="5:5" x14ac:dyDescent="0.25">
      <c r="E1723" s="3" t="str">
        <f t="shared" si="26"/>
        <v/>
      </c>
    </row>
    <row r="1724" spans="5:5" x14ac:dyDescent="0.25">
      <c r="E1724" s="3" t="str">
        <f t="shared" si="26"/>
        <v/>
      </c>
    </row>
    <row r="1725" spans="5:5" x14ac:dyDescent="0.25">
      <c r="E1725" s="3" t="str">
        <f t="shared" si="26"/>
        <v/>
      </c>
    </row>
    <row r="1726" spans="5:5" x14ac:dyDescent="0.25">
      <c r="E1726" s="3" t="str">
        <f t="shared" si="26"/>
        <v/>
      </c>
    </row>
    <row r="1727" spans="5:5" x14ac:dyDescent="0.25">
      <c r="E1727" s="3" t="str">
        <f t="shared" si="26"/>
        <v/>
      </c>
    </row>
    <row r="1728" spans="5:5" x14ac:dyDescent="0.25">
      <c r="E1728" s="3" t="str">
        <f t="shared" si="26"/>
        <v/>
      </c>
    </row>
    <row r="1729" spans="5:5" x14ac:dyDescent="0.25">
      <c r="E1729" s="3" t="str">
        <f t="shared" si="26"/>
        <v/>
      </c>
    </row>
    <row r="1730" spans="5:5" x14ac:dyDescent="0.25">
      <c r="E1730" s="3" t="str">
        <f t="shared" si="26"/>
        <v/>
      </c>
    </row>
    <row r="1731" spans="5:5" x14ac:dyDescent="0.25">
      <c r="E1731" s="3" t="str">
        <f t="shared" ref="E1731:E1794" si="27">IF(COUNTIF(C$3:C$5000,C1731)&gt;1,"DUPLICADO","")</f>
        <v/>
      </c>
    </row>
    <row r="1732" spans="5:5" x14ac:dyDescent="0.25">
      <c r="E1732" s="3" t="str">
        <f t="shared" si="27"/>
        <v/>
      </c>
    </row>
    <row r="1733" spans="5:5" x14ac:dyDescent="0.25">
      <c r="E1733" s="3" t="str">
        <f t="shared" si="27"/>
        <v/>
      </c>
    </row>
    <row r="1734" spans="5:5" x14ac:dyDescent="0.25">
      <c r="E1734" s="3" t="str">
        <f t="shared" si="27"/>
        <v/>
      </c>
    </row>
    <row r="1735" spans="5:5" x14ac:dyDescent="0.25">
      <c r="E1735" s="3" t="str">
        <f t="shared" si="27"/>
        <v/>
      </c>
    </row>
    <row r="1736" spans="5:5" x14ac:dyDescent="0.25">
      <c r="E1736" s="3" t="str">
        <f t="shared" si="27"/>
        <v/>
      </c>
    </row>
    <row r="1737" spans="5:5" x14ac:dyDescent="0.25">
      <c r="E1737" s="3" t="str">
        <f t="shared" si="27"/>
        <v/>
      </c>
    </row>
    <row r="1738" spans="5:5" x14ac:dyDescent="0.25">
      <c r="E1738" s="3" t="str">
        <f t="shared" si="27"/>
        <v/>
      </c>
    </row>
    <row r="1739" spans="5:5" x14ac:dyDescent="0.25">
      <c r="E1739" s="3" t="str">
        <f t="shared" si="27"/>
        <v/>
      </c>
    </row>
    <row r="1740" spans="5:5" x14ac:dyDescent="0.25">
      <c r="E1740" s="3" t="str">
        <f t="shared" si="27"/>
        <v/>
      </c>
    </row>
    <row r="1741" spans="5:5" x14ac:dyDescent="0.25">
      <c r="E1741" s="3" t="str">
        <f t="shared" si="27"/>
        <v/>
      </c>
    </row>
    <row r="1742" spans="5:5" x14ac:dyDescent="0.25">
      <c r="E1742" s="3" t="str">
        <f t="shared" si="27"/>
        <v/>
      </c>
    </row>
    <row r="1743" spans="5:5" x14ac:dyDescent="0.25">
      <c r="E1743" s="3" t="str">
        <f t="shared" si="27"/>
        <v/>
      </c>
    </row>
    <row r="1744" spans="5:5" x14ac:dyDescent="0.25">
      <c r="E1744" s="3" t="str">
        <f t="shared" si="27"/>
        <v/>
      </c>
    </row>
    <row r="1745" spans="5:5" x14ac:dyDescent="0.25">
      <c r="E1745" s="3" t="str">
        <f t="shared" si="27"/>
        <v/>
      </c>
    </row>
    <row r="1746" spans="5:5" x14ac:dyDescent="0.25">
      <c r="E1746" s="3" t="str">
        <f t="shared" si="27"/>
        <v/>
      </c>
    </row>
    <row r="1747" spans="5:5" x14ac:dyDescent="0.25">
      <c r="E1747" s="3" t="str">
        <f t="shared" si="27"/>
        <v/>
      </c>
    </row>
    <row r="1748" spans="5:5" x14ac:dyDescent="0.25">
      <c r="E1748" s="3" t="str">
        <f t="shared" si="27"/>
        <v/>
      </c>
    </row>
    <row r="1749" spans="5:5" x14ac:dyDescent="0.25">
      <c r="E1749" s="3" t="str">
        <f t="shared" si="27"/>
        <v/>
      </c>
    </row>
    <row r="1750" spans="5:5" x14ac:dyDescent="0.25">
      <c r="E1750" s="3" t="str">
        <f t="shared" si="27"/>
        <v/>
      </c>
    </row>
    <row r="1751" spans="5:5" x14ac:dyDescent="0.25">
      <c r="E1751" s="3" t="str">
        <f t="shared" si="27"/>
        <v/>
      </c>
    </row>
    <row r="1752" spans="5:5" x14ac:dyDescent="0.25">
      <c r="E1752" s="3" t="str">
        <f t="shared" si="27"/>
        <v/>
      </c>
    </row>
    <row r="1753" spans="5:5" x14ac:dyDescent="0.25">
      <c r="E1753" s="3" t="str">
        <f t="shared" si="27"/>
        <v/>
      </c>
    </row>
    <row r="1754" spans="5:5" x14ac:dyDescent="0.25">
      <c r="E1754" s="3" t="str">
        <f t="shared" si="27"/>
        <v/>
      </c>
    </row>
    <row r="1755" spans="5:5" x14ac:dyDescent="0.25">
      <c r="E1755" s="3" t="str">
        <f t="shared" si="27"/>
        <v/>
      </c>
    </row>
    <row r="1756" spans="5:5" x14ac:dyDescent="0.25">
      <c r="E1756" s="3" t="str">
        <f t="shared" si="27"/>
        <v/>
      </c>
    </row>
    <row r="1757" spans="5:5" x14ac:dyDescent="0.25">
      <c r="E1757" s="3" t="str">
        <f t="shared" si="27"/>
        <v/>
      </c>
    </row>
    <row r="1758" spans="5:5" x14ac:dyDescent="0.25">
      <c r="E1758" s="3" t="str">
        <f t="shared" si="27"/>
        <v/>
      </c>
    </row>
    <row r="1759" spans="5:5" x14ac:dyDescent="0.25">
      <c r="E1759" s="3" t="str">
        <f t="shared" si="27"/>
        <v/>
      </c>
    </row>
    <row r="1760" spans="5:5" x14ac:dyDescent="0.25">
      <c r="E1760" s="3" t="str">
        <f t="shared" si="27"/>
        <v/>
      </c>
    </row>
    <row r="1761" spans="5:5" x14ac:dyDescent="0.25">
      <c r="E1761" s="3" t="str">
        <f t="shared" si="27"/>
        <v/>
      </c>
    </row>
    <row r="1762" spans="5:5" x14ac:dyDescent="0.25">
      <c r="E1762" s="3" t="str">
        <f t="shared" si="27"/>
        <v/>
      </c>
    </row>
    <row r="1763" spans="5:5" x14ac:dyDescent="0.25">
      <c r="E1763" s="3" t="str">
        <f t="shared" si="27"/>
        <v/>
      </c>
    </row>
    <row r="1764" spans="5:5" x14ac:dyDescent="0.25">
      <c r="E1764" s="3" t="str">
        <f t="shared" si="27"/>
        <v/>
      </c>
    </row>
    <row r="1765" spans="5:5" x14ac:dyDescent="0.25">
      <c r="E1765" s="3" t="str">
        <f t="shared" si="27"/>
        <v/>
      </c>
    </row>
    <row r="1766" spans="5:5" x14ac:dyDescent="0.25">
      <c r="E1766" s="3" t="str">
        <f t="shared" si="27"/>
        <v/>
      </c>
    </row>
    <row r="1767" spans="5:5" x14ac:dyDescent="0.25">
      <c r="E1767" s="3" t="str">
        <f t="shared" si="27"/>
        <v/>
      </c>
    </row>
    <row r="1768" spans="5:5" x14ac:dyDescent="0.25">
      <c r="E1768" s="3" t="str">
        <f t="shared" si="27"/>
        <v/>
      </c>
    </row>
    <row r="1769" spans="5:5" x14ac:dyDescent="0.25">
      <c r="E1769" s="3" t="str">
        <f t="shared" si="27"/>
        <v/>
      </c>
    </row>
    <row r="1770" spans="5:5" x14ac:dyDescent="0.25">
      <c r="E1770" s="3" t="str">
        <f t="shared" si="27"/>
        <v/>
      </c>
    </row>
    <row r="1771" spans="5:5" x14ac:dyDescent="0.25">
      <c r="E1771" s="3" t="str">
        <f t="shared" si="27"/>
        <v/>
      </c>
    </row>
    <row r="1772" spans="5:5" x14ac:dyDescent="0.25">
      <c r="E1772" s="3" t="str">
        <f t="shared" si="27"/>
        <v/>
      </c>
    </row>
    <row r="1773" spans="5:5" x14ac:dyDescent="0.25">
      <c r="E1773" s="3" t="str">
        <f t="shared" si="27"/>
        <v/>
      </c>
    </row>
    <row r="1774" spans="5:5" x14ac:dyDescent="0.25">
      <c r="E1774" s="3" t="str">
        <f t="shared" si="27"/>
        <v/>
      </c>
    </row>
    <row r="1775" spans="5:5" x14ac:dyDescent="0.25">
      <c r="E1775" s="3" t="str">
        <f t="shared" si="27"/>
        <v/>
      </c>
    </row>
    <row r="1776" spans="5:5" x14ac:dyDescent="0.25">
      <c r="E1776" s="3" t="str">
        <f t="shared" si="27"/>
        <v/>
      </c>
    </row>
    <row r="1777" spans="5:5" x14ac:dyDescent="0.25">
      <c r="E1777" s="3" t="str">
        <f t="shared" si="27"/>
        <v/>
      </c>
    </row>
    <row r="1778" spans="5:5" x14ac:dyDescent="0.25">
      <c r="E1778" s="3" t="str">
        <f t="shared" si="27"/>
        <v/>
      </c>
    </row>
    <row r="1779" spans="5:5" x14ac:dyDescent="0.25">
      <c r="E1779" s="3" t="str">
        <f t="shared" si="27"/>
        <v/>
      </c>
    </row>
    <row r="1780" spans="5:5" x14ac:dyDescent="0.25">
      <c r="E1780" s="3" t="str">
        <f t="shared" si="27"/>
        <v/>
      </c>
    </row>
    <row r="1781" spans="5:5" x14ac:dyDescent="0.25">
      <c r="E1781" s="3" t="str">
        <f t="shared" si="27"/>
        <v/>
      </c>
    </row>
    <row r="1782" spans="5:5" x14ac:dyDescent="0.25">
      <c r="E1782" s="3" t="str">
        <f t="shared" si="27"/>
        <v/>
      </c>
    </row>
    <row r="1783" spans="5:5" x14ac:dyDescent="0.25">
      <c r="E1783" s="3" t="str">
        <f t="shared" si="27"/>
        <v/>
      </c>
    </row>
    <row r="1784" spans="5:5" x14ac:dyDescent="0.25">
      <c r="E1784" s="3" t="str">
        <f t="shared" si="27"/>
        <v/>
      </c>
    </row>
    <row r="1785" spans="5:5" x14ac:dyDescent="0.25">
      <c r="E1785" s="3" t="str">
        <f t="shared" si="27"/>
        <v/>
      </c>
    </row>
    <row r="1786" spans="5:5" x14ac:dyDescent="0.25">
      <c r="E1786" s="3" t="str">
        <f t="shared" si="27"/>
        <v/>
      </c>
    </row>
    <row r="1787" spans="5:5" x14ac:dyDescent="0.25">
      <c r="E1787" s="3" t="str">
        <f t="shared" si="27"/>
        <v/>
      </c>
    </row>
    <row r="1788" spans="5:5" x14ac:dyDescent="0.25">
      <c r="E1788" s="3" t="str">
        <f t="shared" si="27"/>
        <v/>
      </c>
    </row>
    <row r="1789" spans="5:5" x14ac:dyDescent="0.25">
      <c r="E1789" s="3" t="str">
        <f t="shared" si="27"/>
        <v/>
      </c>
    </row>
    <row r="1790" spans="5:5" x14ac:dyDescent="0.25">
      <c r="E1790" s="3" t="str">
        <f t="shared" si="27"/>
        <v/>
      </c>
    </row>
    <row r="1791" spans="5:5" x14ac:dyDescent="0.25">
      <c r="E1791" s="3" t="str">
        <f t="shared" si="27"/>
        <v/>
      </c>
    </row>
    <row r="1792" spans="5:5" x14ac:dyDescent="0.25">
      <c r="E1792" s="3" t="str">
        <f t="shared" si="27"/>
        <v/>
      </c>
    </row>
    <row r="1793" spans="5:5" x14ac:dyDescent="0.25">
      <c r="E1793" s="3" t="str">
        <f t="shared" si="27"/>
        <v/>
      </c>
    </row>
    <row r="1794" spans="5:5" x14ac:dyDescent="0.25">
      <c r="E1794" s="3" t="str">
        <f t="shared" si="27"/>
        <v/>
      </c>
    </row>
    <row r="1795" spans="5:5" x14ac:dyDescent="0.25">
      <c r="E1795" s="3" t="str">
        <f t="shared" ref="E1795:E1858" si="28">IF(COUNTIF(C$3:C$5000,C1795)&gt;1,"DUPLICADO","")</f>
        <v/>
      </c>
    </row>
    <row r="1796" spans="5:5" x14ac:dyDescent="0.25">
      <c r="E1796" s="3" t="str">
        <f t="shared" si="28"/>
        <v/>
      </c>
    </row>
    <row r="1797" spans="5:5" x14ac:dyDescent="0.25">
      <c r="E1797" s="3" t="str">
        <f t="shared" si="28"/>
        <v/>
      </c>
    </row>
    <row r="1798" spans="5:5" x14ac:dyDescent="0.25">
      <c r="E1798" s="3" t="str">
        <f t="shared" si="28"/>
        <v/>
      </c>
    </row>
    <row r="1799" spans="5:5" x14ac:dyDescent="0.25">
      <c r="E1799" s="3" t="str">
        <f t="shared" si="28"/>
        <v/>
      </c>
    </row>
    <row r="1800" spans="5:5" x14ac:dyDescent="0.25">
      <c r="E1800" s="3" t="str">
        <f t="shared" si="28"/>
        <v/>
      </c>
    </row>
    <row r="1801" spans="5:5" x14ac:dyDescent="0.25">
      <c r="E1801" s="3" t="str">
        <f t="shared" si="28"/>
        <v/>
      </c>
    </row>
    <row r="1802" spans="5:5" x14ac:dyDescent="0.25">
      <c r="E1802" s="3" t="str">
        <f t="shared" si="28"/>
        <v/>
      </c>
    </row>
    <row r="1803" spans="5:5" x14ac:dyDescent="0.25">
      <c r="E1803" s="3" t="str">
        <f t="shared" si="28"/>
        <v/>
      </c>
    </row>
    <row r="1804" spans="5:5" x14ac:dyDescent="0.25">
      <c r="E1804" s="3" t="str">
        <f t="shared" si="28"/>
        <v/>
      </c>
    </row>
    <row r="1805" spans="5:5" x14ac:dyDescent="0.25">
      <c r="E1805" s="3" t="str">
        <f t="shared" si="28"/>
        <v/>
      </c>
    </row>
    <row r="1806" spans="5:5" x14ac:dyDescent="0.25">
      <c r="E1806" s="3" t="str">
        <f t="shared" si="28"/>
        <v/>
      </c>
    </row>
    <row r="1807" spans="5:5" x14ac:dyDescent="0.25">
      <c r="E1807" s="3" t="str">
        <f t="shared" si="28"/>
        <v/>
      </c>
    </row>
    <row r="1808" spans="5:5" x14ac:dyDescent="0.25">
      <c r="E1808" s="3" t="str">
        <f t="shared" si="28"/>
        <v/>
      </c>
    </row>
    <row r="1809" spans="5:5" x14ac:dyDescent="0.25">
      <c r="E1809" s="3" t="str">
        <f t="shared" si="28"/>
        <v/>
      </c>
    </row>
    <row r="1810" spans="5:5" x14ac:dyDescent="0.25">
      <c r="E1810" s="3" t="str">
        <f t="shared" si="28"/>
        <v/>
      </c>
    </row>
    <row r="1811" spans="5:5" x14ac:dyDescent="0.25">
      <c r="E1811" s="3" t="str">
        <f t="shared" si="28"/>
        <v/>
      </c>
    </row>
    <row r="1812" spans="5:5" x14ac:dyDescent="0.25">
      <c r="E1812" s="3" t="str">
        <f t="shared" si="28"/>
        <v/>
      </c>
    </row>
    <row r="1813" spans="5:5" x14ac:dyDescent="0.25">
      <c r="E1813" s="3" t="str">
        <f t="shared" si="28"/>
        <v/>
      </c>
    </row>
    <row r="1814" spans="5:5" x14ac:dyDescent="0.25">
      <c r="E1814" s="3" t="str">
        <f t="shared" si="28"/>
        <v/>
      </c>
    </row>
    <row r="1815" spans="5:5" x14ac:dyDescent="0.25">
      <c r="E1815" s="3" t="str">
        <f t="shared" si="28"/>
        <v/>
      </c>
    </row>
    <row r="1816" spans="5:5" x14ac:dyDescent="0.25">
      <c r="E1816" s="3" t="str">
        <f t="shared" si="28"/>
        <v/>
      </c>
    </row>
    <row r="1817" spans="5:5" x14ac:dyDescent="0.25">
      <c r="E1817" s="3" t="str">
        <f t="shared" si="28"/>
        <v/>
      </c>
    </row>
    <row r="1818" spans="5:5" x14ac:dyDescent="0.25">
      <c r="E1818" s="3" t="str">
        <f t="shared" si="28"/>
        <v/>
      </c>
    </row>
    <row r="1819" spans="5:5" x14ac:dyDescent="0.25">
      <c r="E1819" s="3" t="str">
        <f t="shared" si="28"/>
        <v/>
      </c>
    </row>
    <row r="1820" spans="5:5" x14ac:dyDescent="0.25">
      <c r="E1820" s="3" t="str">
        <f t="shared" si="28"/>
        <v/>
      </c>
    </row>
    <row r="1821" spans="5:5" x14ac:dyDescent="0.25">
      <c r="E1821" s="3" t="str">
        <f t="shared" si="28"/>
        <v/>
      </c>
    </row>
    <row r="1822" spans="5:5" x14ac:dyDescent="0.25">
      <c r="E1822" s="3" t="str">
        <f t="shared" si="28"/>
        <v/>
      </c>
    </row>
    <row r="1823" spans="5:5" x14ac:dyDescent="0.25">
      <c r="E1823" s="3" t="str">
        <f t="shared" si="28"/>
        <v/>
      </c>
    </row>
    <row r="1824" spans="5:5" x14ac:dyDescent="0.25">
      <c r="E1824" s="3" t="str">
        <f t="shared" si="28"/>
        <v/>
      </c>
    </row>
    <row r="1825" spans="5:5" x14ac:dyDescent="0.25">
      <c r="E1825" s="3" t="str">
        <f t="shared" si="28"/>
        <v/>
      </c>
    </row>
    <row r="1826" spans="5:5" x14ac:dyDescent="0.25">
      <c r="E1826" s="3" t="str">
        <f t="shared" si="28"/>
        <v/>
      </c>
    </row>
    <row r="1827" spans="5:5" x14ac:dyDescent="0.25">
      <c r="E1827" s="3" t="str">
        <f t="shared" si="28"/>
        <v/>
      </c>
    </row>
    <row r="1828" spans="5:5" x14ac:dyDescent="0.25">
      <c r="E1828" s="3" t="str">
        <f t="shared" si="28"/>
        <v/>
      </c>
    </row>
    <row r="1829" spans="5:5" x14ac:dyDescent="0.25">
      <c r="E1829" s="3" t="str">
        <f t="shared" si="28"/>
        <v/>
      </c>
    </row>
    <row r="1830" spans="5:5" x14ac:dyDescent="0.25">
      <c r="E1830" s="3" t="str">
        <f t="shared" si="28"/>
        <v/>
      </c>
    </row>
    <row r="1831" spans="5:5" x14ac:dyDescent="0.25">
      <c r="E1831" s="3" t="str">
        <f t="shared" si="28"/>
        <v/>
      </c>
    </row>
    <row r="1832" spans="5:5" x14ac:dyDescent="0.25">
      <c r="E1832" s="3" t="str">
        <f t="shared" si="28"/>
        <v/>
      </c>
    </row>
    <row r="1833" spans="5:5" x14ac:dyDescent="0.25">
      <c r="E1833" s="3" t="str">
        <f t="shared" si="28"/>
        <v/>
      </c>
    </row>
    <row r="1834" spans="5:5" x14ac:dyDescent="0.25">
      <c r="E1834" s="3" t="str">
        <f t="shared" si="28"/>
        <v/>
      </c>
    </row>
    <row r="1835" spans="5:5" x14ac:dyDescent="0.25">
      <c r="E1835" s="3" t="str">
        <f t="shared" si="28"/>
        <v/>
      </c>
    </row>
    <row r="1836" spans="5:5" x14ac:dyDescent="0.25">
      <c r="E1836" s="3" t="str">
        <f t="shared" si="28"/>
        <v/>
      </c>
    </row>
    <row r="1837" spans="5:5" x14ac:dyDescent="0.25">
      <c r="E1837" s="3" t="str">
        <f t="shared" si="28"/>
        <v/>
      </c>
    </row>
    <row r="1838" spans="5:5" x14ac:dyDescent="0.25">
      <c r="E1838" s="3" t="str">
        <f t="shared" si="28"/>
        <v/>
      </c>
    </row>
    <row r="1839" spans="5:5" x14ac:dyDescent="0.25">
      <c r="E1839" s="3" t="str">
        <f t="shared" si="28"/>
        <v/>
      </c>
    </row>
    <row r="1840" spans="5:5" x14ac:dyDescent="0.25">
      <c r="E1840" s="3" t="str">
        <f t="shared" si="28"/>
        <v/>
      </c>
    </row>
    <row r="1841" spans="5:5" x14ac:dyDescent="0.25">
      <c r="E1841" s="3" t="str">
        <f t="shared" si="28"/>
        <v/>
      </c>
    </row>
    <row r="1842" spans="5:5" x14ac:dyDescent="0.25">
      <c r="E1842" s="3" t="str">
        <f t="shared" si="28"/>
        <v/>
      </c>
    </row>
    <row r="1843" spans="5:5" x14ac:dyDescent="0.25">
      <c r="E1843" s="3" t="str">
        <f t="shared" si="28"/>
        <v/>
      </c>
    </row>
    <row r="1844" spans="5:5" x14ac:dyDescent="0.25">
      <c r="E1844" s="3" t="str">
        <f t="shared" si="28"/>
        <v/>
      </c>
    </row>
    <row r="1845" spans="5:5" x14ac:dyDescent="0.25">
      <c r="E1845" s="3" t="str">
        <f t="shared" si="28"/>
        <v/>
      </c>
    </row>
    <row r="1846" spans="5:5" x14ac:dyDescent="0.25">
      <c r="E1846" s="3" t="str">
        <f t="shared" si="28"/>
        <v/>
      </c>
    </row>
    <row r="1847" spans="5:5" x14ac:dyDescent="0.25">
      <c r="E1847" s="3" t="str">
        <f t="shared" si="28"/>
        <v/>
      </c>
    </row>
    <row r="1848" spans="5:5" x14ac:dyDescent="0.25">
      <c r="E1848" s="3" t="str">
        <f t="shared" si="28"/>
        <v/>
      </c>
    </row>
    <row r="1849" spans="5:5" x14ac:dyDescent="0.25">
      <c r="E1849" s="3" t="str">
        <f t="shared" si="28"/>
        <v/>
      </c>
    </row>
    <row r="1850" spans="5:5" x14ac:dyDescent="0.25">
      <c r="E1850" s="3" t="str">
        <f t="shared" si="28"/>
        <v/>
      </c>
    </row>
    <row r="1851" spans="5:5" x14ac:dyDescent="0.25">
      <c r="E1851" s="3" t="str">
        <f t="shared" si="28"/>
        <v/>
      </c>
    </row>
    <row r="1852" spans="5:5" x14ac:dyDescent="0.25">
      <c r="E1852" s="3" t="str">
        <f t="shared" si="28"/>
        <v/>
      </c>
    </row>
    <row r="1853" spans="5:5" x14ac:dyDescent="0.25">
      <c r="E1853" s="3" t="str">
        <f t="shared" si="28"/>
        <v/>
      </c>
    </row>
    <row r="1854" spans="5:5" x14ac:dyDescent="0.25">
      <c r="E1854" s="3" t="str">
        <f t="shared" si="28"/>
        <v/>
      </c>
    </row>
    <row r="1855" spans="5:5" x14ac:dyDescent="0.25">
      <c r="E1855" s="3" t="str">
        <f t="shared" si="28"/>
        <v/>
      </c>
    </row>
    <row r="1856" spans="5:5" x14ac:dyDescent="0.25">
      <c r="E1856" s="3" t="str">
        <f t="shared" si="28"/>
        <v/>
      </c>
    </row>
    <row r="1857" spans="5:5" x14ac:dyDescent="0.25">
      <c r="E1857" s="3" t="str">
        <f t="shared" si="28"/>
        <v/>
      </c>
    </row>
    <row r="1858" spans="5:5" x14ac:dyDescent="0.25">
      <c r="E1858" s="3" t="str">
        <f t="shared" si="28"/>
        <v/>
      </c>
    </row>
    <row r="1859" spans="5:5" x14ac:dyDescent="0.25">
      <c r="E1859" s="3" t="str">
        <f t="shared" ref="E1859:E1922" si="29">IF(COUNTIF(C$3:C$5000,C1859)&gt;1,"DUPLICADO","")</f>
        <v/>
      </c>
    </row>
    <row r="1860" spans="5:5" x14ac:dyDescent="0.25">
      <c r="E1860" s="3" t="str">
        <f t="shared" si="29"/>
        <v/>
      </c>
    </row>
    <row r="1861" spans="5:5" x14ac:dyDescent="0.25">
      <c r="E1861" s="3" t="str">
        <f t="shared" si="29"/>
        <v/>
      </c>
    </row>
    <row r="1862" spans="5:5" x14ac:dyDescent="0.25">
      <c r="E1862" s="3" t="str">
        <f t="shared" si="29"/>
        <v/>
      </c>
    </row>
    <row r="1863" spans="5:5" x14ac:dyDescent="0.25">
      <c r="E1863" s="3" t="str">
        <f t="shared" si="29"/>
        <v/>
      </c>
    </row>
    <row r="1864" spans="5:5" x14ac:dyDescent="0.25">
      <c r="E1864" s="3" t="str">
        <f t="shared" si="29"/>
        <v/>
      </c>
    </row>
    <row r="1865" spans="5:5" x14ac:dyDescent="0.25">
      <c r="E1865" s="3" t="str">
        <f t="shared" si="29"/>
        <v/>
      </c>
    </row>
    <row r="1866" spans="5:5" x14ac:dyDescent="0.25">
      <c r="E1866" s="3" t="str">
        <f t="shared" si="29"/>
        <v/>
      </c>
    </row>
    <row r="1867" spans="5:5" x14ac:dyDescent="0.25">
      <c r="E1867" s="3" t="str">
        <f t="shared" si="29"/>
        <v/>
      </c>
    </row>
    <row r="1868" spans="5:5" x14ac:dyDescent="0.25">
      <c r="E1868" s="3" t="str">
        <f t="shared" si="29"/>
        <v/>
      </c>
    </row>
    <row r="1869" spans="5:5" x14ac:dyDescent="0.25">
      <c r="E1869" s="3" t="str">
        <f t="shared" si="29"/>
        <v/>
      </c>
    </row>
    <row r="1870" spans="5:5" x14ac:dyDescent="0.25">
      <c r="E1870" s="3" t="str">
        <f t="shared" si="29"/>
        <v/>
      </c>
    </row>
    <row r="1871" spans="5:5" x14ac:dyDescent="0.25">
      <c r="E1871" s="3" t="str">
        <f t="shared" si="29"/>
        <v/>
      </c>
    </row>
    <row r="1872" spans="5:5" x14ac:dyDescent="0.25">
      <c r="E1872" s="3" t="str">
        <f t="shared" si="29"/>
        <v/>
      </c>
    </row>
    <row r="1873" spans="5:5" x14ac:dyDescent="0.25">
      <c r="E1873" s="3" t="str">
        <f t="shared" si="29"/>
        <v/>
      </c>
    </row>
    <row r="1874" spans="5:5" x14ac:dyDescent="0.25">
      <c r="E1874" s="3" t="str">
        <f t="shared" si="29"/>
        <v/>
      </c>
    </row>
    <row r="1875" spans="5:5" x14ac:dyDescent="0.25">
      <c r="E1875" s="3" t="str">
        <f t="shared" si="29"/>
        <v/>
      </c>
    </row>
    <row r="1876" spans="5:5" x14ac:dyDescent="0.25">
      <c r="E1876" s="3" t="str">
        <f t="shared" si="29"/>
        <v/>
      </c>
    </row>
    <row r="1877" spans="5:5" x14ac:dyDescent="0.25">
      <c r="E1877" s="3" t="str">
        <f t="shared" si="29"/>
        <v/>
      </c>
    </row>
    <row r="1878" spans="5:5" x14ac:dyDescent="0.25">
      <c r="E1878" s="3" t="str">
        <f t="shared" si="29"/>
        <v/>
      </c>
    </row>
    <row r="1879" spans="5:5" x14ac:dyDescent="0.25">
      <c r="E1879" s="3" t="str">
        <f t="shared" si="29"/>
        <v/>
      </c>
    </row>
    <row r="1880" spans="5:5" x14ac:dyDescent="0.25">
      <c r="E1880" s="3" t="str">
        <f t="shared" si="29"/>
        <v/>
      </c>
    </row>
    <row r="1881" spans="5:5" x14ac:dyDescent="0.25">
      <c r="E1881" s="3" t="str">
        <f t="shared" si="29"/>
        <v/>
      </c>
    </row>
    <row r="1882" spans="5:5" x14ac:dyDescent="0.25">
      <c r="E1882" s="3" t="str">
        <f t="shared" si="29"/>
        <v/>
      </c>
    </row>
    <row r="1883" spans="5:5" x14ac:dyDescent="0.25">
      <c r="E1883" s="3" t="str">
        <f t="shared" si="29"/>
        <v/>
      </c>
    </row>
    <row r="1884" spans="5:5" x14ac:dyDescent="0.25">
      <c r="E1884" s="3" t="str">
        <f t="shared" si="29"/>
        <v/>
      </c>
    </row>
    <row r="1885" spans="5:5" x14ac:dyDescent="0.25">
      <c r="E1885" s="3" t="str">
        <f t="shared" si="29"/>
        <v/>
      </c>
    </row>
    <row r="1886" spans="5:5" x14ac:dyDescent="0.25">
      <c r="E1886" s="3" t="str">
        <f t="shared" si="29"/>
        <v/>
      </c>
    </row>
    <row r="1887" spans="5:5" x14ac:dyDescent="0.25">
      <c r="E1887" s="3" t="str">
        <f t="shared" si="29"/>
        <v/>
      </c>
    </row>
    <row r="1888" spans="5:5" x14ac:dyDescent="0.25">
      <c r="E1888" s="3" t="str">
        <f t="shared" si="29"/>
        <v/>
      </c>
    </row>
    <row r="1889" spans="5:5" x14ac:dyDescent="0.25">
      <c r="E1889" s="3" t="str">
        <f t="shared" si="29"/>
        <v/>
      </c>
    </row>
    <row r="1890" spans="5:5" x14ac:dyDescent="0.25">
      <c r="E1890" s="3" t="str">
        <f t="shared" si="29"/>
        <v/>
      </c>
    </row>
    <row r="1891" spans="5:5" x14ac:dyDescent="0.25">
      <c r="E1891" s="3" t="str">
        <f t="shared" si="29"/>
        <v/>
      </c>
    </row>
    <row r="1892" spans="5:5" x14ac:dyDescent="0.25">
      <c r="E1892" s="3" t="str">
        <f t="shared" si="29"/>
        <v/>
      </c>
    </row>
    <row r="1893" spans="5:5" x14ac:dyDescent="0.25">
      <c r="E1893" s="3" t="str">
        <f t="shared" si="29"/>
        <v/>
      </c>
    </row>
    <row r="1894" spans="5:5" x14ac:dyDescent="0.25">
      <c r="E1894" s="3" t="str">
        <f t="shared" si="29"/>
        <v/>
      </c>
    </row>
    <row r="1895" spans="5:5" x14ac:dyDescent="0.25">
      <c r="E1895" s="3" t="str">
        <f t="shared" si="29"/>
        <v/>
      </c>
    </row>
    <row r="1896" spans="5:5" x14ac:dyDescent="0.25">
      <c r="E1896" s="3" t="str">
        <f t="shared" si="29"/>
        <v/>
      </c>
    </row>
    <row r="1897" spans="5:5" x14ac:dyDescent="0.25">
      <c r="E1897" s="3" t="str">
        <f t="shared" si="29"/>
        <v/>
      </c>
    </row>
    <row r="1898" spans="5:5" x14ac:dyDescent="0.25">
      <c r="E1898" s="3" t="str">
        <f t="shared" si="29"/>
        <v/>
      </c>
    </row>
    <row r="1899" spans="5:5" x14ac:dyDescent="0.25">
      <c r="E1899" s="3" t="str">
        <f t="shared" si="29"/>
        <v/>
      </c>
    </row>
    <row r="1900" spans="5:5" x14ac:dyDescent="0.25">
      <c r="E1900" s="3" t="str">
        <f t="shared" si="29"/>
        <v/>
      </c>
    </row>
    <row r="1901" spans="5:5" x14ac:dyDescent="0.25">
      <c r="E1901" s="3" t="str">
        <f t="shared" si="29"/>
        <v/>
      </c>
    </row>
    <row r="1902" spans="5:5" x14ac:dyDescent="0.25">
      <c r="E1902" s="3" t="str">
        <f t="shared" si="29"/>
        <v/>
      </c>
    </row>
    <row r="1903" spans="5:5" x14ac:dyDescent="0.25">
      <c r="E1903" s="3" t="str">
        <f t="shared" si="29"/>
        <v/>
      </c>
    </row>
    <row r="1904" spans="5:5" x14ac:dyDescent="0.25">
      <c r="E1904" s="3" t="str">
        <f t="shared" si="29"/>
        <v/>
      </c>
    </row>
    <row r="1905" spans="5:5" x14ac:dyDescent="0.25">
      <c r="E1905" s="3" t="str">
        <f t="shared" si="29"/>
        <v/>
      </c>
    </row>
    <row r="1906" spans="5:5" x14ac:dyDescent="0.25">
      <c r="E1906" s="3" t="str">
        <f t="shared" si="29"/>
        <v/>
      </c>
    </row>
    <row r="1907" spans="5:5" x14ac:dyDescent="0.25">
      <c r="E1907" s="3" t="str">
        <f t="shared" si="29"/>
        <v/>
      </c>
    </row>
    <row r="1908" spans="5:5" x14ac:dyDescent="0.25">
      <c r="E1908" s="3" t="str">
        <f t="shared" si="29"/>
        <v/>
      </c>
    </row>
    <row r="1909" spans="5:5" x14ac:dyDescent="0.25">
      <c r="E1909" s="3" t="str">
        <f t="shared" si="29"/>
        <v/>
      </c>
    </row>
    <row r="1910" spans="5:5" x14ac:dyDescent="0.25">
      <c r="E1910" s="3" t="str">
        <f t="shared" si="29"/>
        <v/>
      </c>
    </row>
    <row r="1911" spans="5:5" x14ac:dyDescent="0.25">
      <c r="E1911" s="3" t="str">
        <f t="shared" si="29"/>
        <v/>
      </c>
    </row>
    <row r="1912" spans="5:5" x14ac:dyDescent="0.25">
      <c r="E1912" s="3" t="str">
        <f t="shared" si="29"/>
        <v/>
      </c>
    </row>
    <row r="1913" spans="5:5" x14ac:dyDescent="0.25">
      <c r="E1913" s="3" t="str">
        <f t="shared" si="29"/>
        <v/>
      </c>
    </row>
    <row r="1914" spans="5:5" x14ac:dyDescent="0.25">
      <c r="E1914" s="3" t="str">
        <f t="shared" si="29"/>
        <v/>
      </c>
    </row>
    <row r="1915" spans="5:5" x14ac:dyDescent="0.25">
      <c r="E1915" s="3" t="str">
        <f t="shared" si="29"/>
        <v/>
      </c>
    </row>
    <row r="1916" spans="5:5" x14ac:dyDescent="0.25">
      <c r="E1916" s="3" t="str">
        <f t="shared" si="29"/>
        <v/>
      </c>
    </row>
    <row r="1917" spans="5:5" x14ac:dyDescent="0.25">
      <c r="E1917" s="3" t="str">
        <f t="shared" si="29"/>
        <v/>
      </c>
    </row>
    <row r="1918" spans="5:5" x14ac:dyDescent="0.25">
      <c r="E1918" s="3" t="str">
        <f t="shared" si="29"/>
        <v/>
      </c>
    </row>
    <row r="1919" spans="5:5" x14ac:dyDescent="0.25">
      <c r="E1919" s="3" t="str">
        <f t="shared" si="29"/>
        <v/>
      </c>
    </row>
    <row r="1920" spans="5:5" x14ac:dyDescent="0.25">
      <c r="E1920" s="3" t="str">
        <f t="shared" si="29"/>
        <v/>
      </c>
    </row>
    <row r="1921" spans="5:5" x14ac:dyDescent="0.25">
      <c r="E1921" s="3" t="str">
        <f t="shared" si="29"/>
        <v/>
      </c>
    </row>
    <row r="1922" spans="5:5" x14ac:dyDescent="0.25">
      <c r="E1922" s="3" t="str">
        <f t="shared" si="29"/>
        <v/>
      </c>
    </row>
    <row r="1923" spans="5:5" x14ac:dyDescent="0.25">
      <c r="E1923" s="3" t="str">
        <f t="shared" ref="E1923:E1986" si="30">IF(COUNTIF(C$3:C$5000,C1923)&gt;1,"DUPLICADO","")</f>
        <v/>
      </c>
    </row>
    <row r="1924" spans="5:5" x14ac:dyDescent="0.25">
      <c r="E1924" s="3" t="str">
        <f t="shared" si="30"/>
        <v/>
      </c>
    </row>
    <row r="1925" spans="5:5" x14ac:dyDescent="0.25">
      <c r="E1925" s="3" t="str">
        <f t="shared" si="30"/>
        <v/>
      </c>
    </row>
    <row r="1926" spans="5:5" x14ac:dyDescent="0.25">
      <c r="E1926" s="3" t="str">
        <f t="shared" si="30"/>
        <v/>
      </c>
    </row>
    <row r="1927" spans="5:5" x14ac:dyDescent="0.25">
      <c r="E1927" s="3" t="str">
        <f t="shared" si="30"/>
        <v/>
      </c>
    </row>
    <row r="1928" spans="5:5" x14ac:dyDescent="0.25">
      <c r="E1928" s="3" t="str">
        <f t="shared" si="30"/>
        <v/>
      </c>
    </row>
    <row r="1929" spans="5:5" x14ac:dyDescent="0.25">
      <c r="E1929" s="3" t="str">
        <f t="shared" si="30"/>
        <v/>
      </c>
    </row>
    <row r="1930" spans="5:5" x14ac:dyDescent="0.25">
      <c r="E1930" s="3" t="str">
        <f t="shared" si="30"/>
        <v/>
      </c>
    </row>
    <row r="1931" spans="5:5" x14ac:dyDescent="0.25">
      <c r="E1931" s="3" t="str">
        <f t="shared" si="30"/>
        <v/>
      </c>
    </row>
    <row r="1932" spans="5:5" x14ac:dyDescent="0.25">
      <c r="E1932" s="3" t="str">
        <f t="shared" si="30"/>
        <v/>
      </c>
    </row>
    <row r="1933" spans="5:5" x14ac:dyDescent="0.25">
      <c r="E1933" s="3" t="str">
        <f t="shared" si="30"/>
        <v/>
      </c>
    </row>
    <row r="1934" spans="5:5" x14ac:dyDescent="0.25">
      <c r="E1934" s="3" t="str">
        <f t="shared" si="30"/>
        <v/>
      </c>
    </row>
    <row r="1935" spans="5:5" x14ac:dyDescent="0.25">
      <c r="E1935" s="3" t="str">
        <f t="shared" si="30"/>
        <v/>
      </c>
    </row>
    <row r="1936" spans="5:5" x14ac:dyDescent="0.25">
      <c r="E1936" s="3" t="str">
        <f t="shared" si="30"/>
        <v/>
      </c>
    </row>
    <row r="1937" spans="5:5" x14ac:dyDescent="0.25">
      <c r="E1937" s="3" t="str">
        <f t="shared" si="30"/>
        <v/>
      </c>
    </row>
    <row r="1938" spans="5:5" x14ac:dyDescent="0.25">
      <c r="E1938" s="3" t="str">
        <f t="shared" si="30"/>
        <v/>
      </c>
    </row>
    <row r="1939" spans="5:5" x14ac:dyDescent="0.25">
      <c r="E1939" s="3" t="str">
        <f t="shared" si="30"/>
        <v/>
      </c>
    </row>
    <row r="1940" spans="5:5" x14ac:dyDescent="0.25">
      <c r="E1940" s="3" t="str">
        <f t="shared" si="30"/>
        <v/>
      </c>
    </row>
    <row r="1941" spans="5:5" x14ac:dyDescent="0.25">
      <c r="E1941" s="3" t="str">
        <f t="shared" si="30"/>
        <v/>
      </c>
    </row>
    <row r="1942" spans="5:5" x14ac:dyDescent="0.25">
      <c r="E1942" s="3" t="str">
        <f t="shared" si="30"/>
        <v/>
      </c>
    </row>
    <row r="1943" spans="5:5" x14ac:dyDescent="0.25">
      <c r="E1943" s="3" t="str">
        <f t="shared" si="30"/>
        <v/>
      </c>
    </row>
    <row r="1944" spans="5:5" x14ac:dyDescent="0.25">
      <c r="E1944" s="3" t="str">
        <f t="shared" si="30"/>
        <v/>
      </c>
    </row>
    <row r="1945" spans="5:5" x14ac:dyDescent="0.25">
      <c r="E1945" s="3" t="str">
        <f t="shared" si="30"/>
        <v/>
      </c>
    </row>
    <row r="1946" spans="5:5" x14ac:dyDescent="0.25">
      <c r="E1946" s="3" t="str">
        <f t="shared" si="30"/>
        <v/>
      </c>
    </row>
    <row r="1947" spans="5:5" x14ac:dyDescent="0.25">
      <c r="E1947" s="3" t="str">
        <f t="shared" si="30"/>
        <v/>
      </c>
    </row>
    <row r="1948" spans="5:5" x14ac:dyDescent="0.25">
      <c r="E1948" s="3" t="str">
        <f t="shared" si="30"/>
        <v/>
      </c>
    </row>
    <row r="1949" spans="5:5" x14ac:dyDescent="0.25">
      <c r="E1949" s="3" t="str">
        <f t="shared" si="30"/>
        <v/>
      </c>
    </row>
    <row r="1950" spans="5:5" x14ac:dyDescent="0.25">
      <c r="E1950" s="3" t="str">
        <f t="shared" si="30"/>
        <v/>
      </c>
    </row>
    <row r="1951" spans="5:5" x14ac:dyDescent="0.25">
      <c r="E1951" s="3" t="str">
        <f t="shared" si="30"/>
        <v/>
      </c>
    </row>
    <row r="1952" spans="5:5" x14ac:dyDescent="0.25">
      <c r="E1952" s="3" t="str">
        <f t="shared" si="30"/>
        <v/>
      </c>
    </row>
    <row r="1953" spans="5:5" x14ac:dyDescent="0.25">
      <c r="E1953" s="3" t="str">
        <f t="shared" si="30"/>
        <v/>
      </c>
    </row>
    <row r="1954" spans="5:5" x14ac:dyDescent="0.25">
      <c r="E1954" s="3" t="str">
        <f t="shared" si="30"/>
        <v/>
      </c>
    </row>
    <row r="1955" spans="5:5" x14ac:dyDescent="0.25">
      <c r="E1955" s="3" t="str">
        <f t="shared" si="30"/>
        <v/>
      </c>
    </row>
    <row r="1956" spans="5:5" x14ac:dyDescent="0.25">
      <c r="E1956" s="3" t="str">
        <f t="shared" si="30"/>
        <v/>
      </c>
    </row>
    <row r="1957" spans="5:5" x14ac:dyDescent="0.25">
      <c r="E1957" s="3" t="str">
        <f t="shared" si="30"/>
        <v/>
      </c>
    </row>
    <row r="1958" spans="5:5" x14ac:dyDescent="0.25">
      <c r="E1958" s="3" t="str">
        <f t="shared" si="30"/>
        <v/>
      </c>
    </row>
    <row r="1959" spans="5:5" x14ac:dyDescent="0.25">
      <c r="E1959" s="3" t="str">
        <f t="shared" si="30"/>
        <v/>
      </c>
    </row>
    <row r="1960" spans="5:5" x14ac:dyDescent="0.25">
      <c r="E1960" s="3" t="str">
        <f t="shared" si="30"/>
        <v/>
      </c>
    </row>
    <row r="1961" spans="5:5" x14ac:dyDescent="0.25">
      <c r="E1961" s="3" t="str">
        <f t="shared" si="30"/>
        <v/>
      </c>
    </row>
    <row r="1962" spans="5:5" x14ac:dyDescent="0.25">
      <c r="E1962" s="3" t="str">
        <f t="shared" si="30"/>
        <v/>
      </c>
    </row>
    <row r="1963" spans="5:5" x14ac:dyDescent="0.25">
      <c r="E1963" s="3" t="str">
        <f t="shared" si="30"/>
        <v/>
      </c>
    </row>
    <row r="1964" spans="5:5" x14ac:dyDescent="0.25">
      <c r="E1964" s="3" t="str">
        <f t="shared" si="30"/>
        <v/>
      </c>
    </row>
    <row r="1965" spans="5:5" x14ac:dyDescent="0.25">
      <c r="E1965" s="3" t="str">
        <f t="shared" si="30"/>
        <v/>
      </c>
    </row>
    <row r="1966" spans="5:5" x14ac:dyDescent="0.25">
      <c r="E1966" s="3" t="str">
        <f t="shared" si="30"/>
        <v/>
      </c>
    </row>
    <row r="1967" spans="5:5" x14ac:dyDescent="0.25">
      <c r="E1967" s="3" t="str">
        <f t="shared" si="30"/>
        <v/>
      </c>
    </row>
    <row r="1968" spans="5:5" x14ac:dyDescent="0.25">
      <c r="E1968" s="3" t="str">
        <f t="shared" si="30"/>
        <v/>
      </c>
    </row>
    <row r="1969" spans="5:5" x14ac:dyDescent="0.25">
      <c r="E1969" s="3" t="str">
        <f t="shared" si="30"/>
        <v/>
      </c>
    </row>
    <row r="1970" spans="5:5" x14ac:dyDescent="0.25">
      <c r="E1970" s="3" t="str">
        <f t="shared" si="30"/>
        <v/>
      </c>
    </row>
    <row r="1971" spans="5:5" x14ac:dyDescent="0.25">
      <c r="E1971" s="3" t="str">
        <f t="shared" si="30"/>
        <v/>
      </c>
    </row>
    <row r="1972" spans="5:5" x14ac:dyDescent="0.25">
      <c r="E1972" s="3" t="str">
        <f t="shared" si="30"/>
        <v/>
      </c>
    </row>
    <row r="1973" spans="5:5" x14ac:dyDescent="0.25">
      <c r="E1973" s="3" t="str">
        <f t="shared" si="30"/>
        <v/>
      </c>
    </row>
    <row r="1974" spans="5:5" x14ac:dyDescent="0.25">
      <c r="E1974" s="3" t="str">
        <f t="shared" si="30"/>
        <v/>
      </c>
    </row>
    <row r="1975" spans="5:5" x14ac:dyDescent="0.25">
      <c r="E1975" s="3" t="str">
        <f t="shared" si="30"/>
        <v/>
      </c>
    </row>
    <row r="1976" spans="5:5" x14ac:dyDescent="0.25">
      <c r="E1976" s="3" t="str">
        <f t="shared" si="30"/>
        <v/>
      </c>
    </row>
    <row r="1977" spans="5:5" x14ac:dyDescent="0.25">
      <c r="E1977" s="3" t="str">
        <f t="shared" si="30"/>
        <v/>
      </c>
    </row>
    <row r="1978" spans="5:5" x14ac:dyDescent="0.25">
      <c r="E1978" s="3" t="str">
        <f t="shared" si="30"/>
        <v/>
      </c>
    </row>
    <row r="1979" spans="5:5" x14ac:dyDescent="0.25">
      <c r="E1979" s="3" t="str">
        <f t="shared" si="30"/>
        <v/>
      </c>
    </row>
    <row r="1980" spans="5:5" x14ac:dyDescent="0.25">
      <c r="E1980" s="3" t="str">
        <f t="shared" si="30"/>
        <v/>
      </c>
    </row>
    <row r="1981" spans="5:5" x14ac:dyDescent="0.25">
      <c r="E1981" s="3" t="str">
        <f t="shared" si="30"/>
        <v/>
      </c>
    </row>
    <row r="1982" spans="5:5" x14ac:dyDescent="0.25">
      <c r="E1982" s="3" t="str">
        <f t="shared" si="30"/>
        <v/>
      </c>
    </row>
    <row r="1983" spans="5:5" x14ac:dyDescent="0.25">
      <c r="E1983" s="3" t="str">
        <f t="shared" si="30"/>
        <v/>
      </c>
    </row>
    <row r="1984" spans="5:5" x14ac:dyDescent="0.25">
      <c r="E1984" s="3" t="str">
        <f t="shared" si="30"/>
        <v/>
      </c>
    </row>
    <row r="1985" spans="5:5" x14ac:dyDescent="0.25">
      <c r="E1985" s="3" t="str">
        <f t="shared" si="30"/>
        <v/>
      </c>
    </row>
    <row r="1986" spans="5:5" x14ac:dyDescent="0.25">
      <c r="E1986" s="3" t="str">
        <f t="shared" si="30"/>
        <v/>
      </c>
    </row>
    <row r="1987" spans="5:5" x14ac:dyDescent="0.25">
      <c r="E1987" s="3" t="str">
        <f t="shared" ref="E1987:E2050" si="31">IF(COUNTIF(C$3:C$5000,C1987)&gt;1,"DUPLICADO","")</f>
        <v/>
      </c>
    </row>
    <row r="1988" spans="5:5" x14ac:dyDescent="0.25">
      <c r="E1988" s="3" t="str">
        <f t="shared" si="31"/>
        <v/>
      </c>
    </row>
    <row r="1989" spans="5:5" x14ac:dyDescent="0.25">
      <c r="E1989" s="3" t="str">
        <f t="shared" si="31"/>
        <v/>
      </c>
    </row>
    <row r="1990" spans="5:5" x14ac:dyDescent="0.25">
      <c r="E1990" s="3" t="str">
        <f t="shared" si="31"/>
        <v/>
      </c>
    </row>
    <row r="1991" spans="5:5" x14ac:dyDescent="0.25">
      <c r="E1991" s="3" t="str">
        <f t="shared" si="31"/>
        <v/>
      </c>
    </row>
    <row r="1992" spans="5:5" x14ac:dyDescent="0.25">
      <c r="E1992" s="3" t="str">
        <f t="shared" si="31"/>
        <v/>
      </c>
    </row>
    <row r="1993" spans="5:5" x14ac:dyDescent="0.25">
      <c r="E1993" s="3" t="str">
        <f t="shared" si="31"/>
        <v/>
      </c>
    </row>
    <row r="1994" spans="5:5" x14ac:dyDescent="0.25">
      <c r="E1994" s="3" t="str">
        <f t="shared" si="31"/>
        <v/>
      </c>
    </row>
    <row r="1995" spans="5:5" x14ac:dyDescent="0.25">
      <c r="E1995" s="3" t="str">
        <f t="shared" si="31"/>
        <v/>
      </c>
    </row>
    <row r="1996" spans="5:5" x14ac:dyDescent="0.25">
      <c r="E1996" s="3" t="str">
        <f t="shared" si="31"/>
        <v/>
      </c>
    </row>
    <row r="1997" spans="5:5" x14ac:dyDescent="0.25">
      <c r="E1997" s="3" t="str">
        <f t="shared" si="31"/>
        <v/>
      </c>
    </row>
    <row r="1998" spans="5:5" x14ac:dyDescent="0.25">
      <c r="E1998" s="3" t="str">
        <f t="shared" si="31"/>
        <v/>
      </c>
    </row>
    <row r="1999" spans="5:5" x14ac:dyDescent="0.25">
      <c r="E1999" s="3" t="str">
        <f t="shared" si="31"/>
        <v/>
      </c>
    </row>
    <row r="2000" spans="5:5" x14ac:dyDescent="0.25">
      <c r="E2000" s="3" t="str">
        <f t="shared" si="31"/>
        <v/>
      </c>
    </row>
    <row r="2001" spans="5:5" x14ac:dyDescent="0.25">
      <c r="E2001" s="3" t="str">
        <f t="shared" si="31"/>
        <v/>
      </c>
    </row>
    <row r="2002" spans="5:5" x14ac:dyDescent="0.25">
      <c r="E2002" s="3" t="str">
        <f t="shared" si="31"/>
        <v/>
      </c>
    </row>
    <row r="2003" spans="5:5" x14ac:dyDescent="0.25">
      <c r="E2003" s="3" t="str">
        <f t="shared" si="31"/>
        <v/>
      </c>
    </row>
    <row r="2004" spans="5:5" x14ac:dyDescent="0.25">
      <c r="E2004" s="3" t="str">
        <f t="shared" si="31"/>
        <v/>
      </c>
    </row>
    <row r="2005" spans="5:5" x14ac:dyDescent="0.25">
      <c r="E2005" s="3" t="str">
        <f t="shared" si="31"/>
        <v/>
      </c>
    </row>
    <row r="2006" spans="5:5" x14ac:dyDescent="0.25">
      <c r="E2006" s="3" t="str">
        <f t="shared" si="31"/>
        <v/>
      </c>
    </row>
    <row r="2007" spans="5:5" x14ac:dyDescent="0.25">
      <c r="E2007" s="3" t="str">
        <f t="shared" si="31"/>
        <v/>
      </c>
    </row>
    <row r="2008" spans="5:5" x14ac:dyDescent="0.25">
      <c r="E2008" s="3" t="str">
        <f t="shared" si="31"/>
        <v/>
      </c>
    </row>
    <row r="2009" spans="5:5" x14ac:dyDescent="0.25">
      <c r="E2009" s="3" t="str">
        <f t="shared" si="31"/>
        <v/>
      </c>
    </row>
    <row r="2010" spans="5:5" x14ac:dyDescent="0.25">
      <c r="E2010" s="3" t="str">
        <f t="shared" si="31"/>
        <v/>
      </c>
    </row>
    <row r="2011" spans="5:5" x14ac:dyDescent="0.25">
      <c r="E2011" s="3" t="str">
        <f t="shared" si="31"/>
        <v/>
      </c>
    </row>
    <row r="2012" spans="5:5" x14ac:dyDescent="0.25">
      <c r="E2012" s="3" t="str">
        <f t="shared" si="31"/>
        <v/>
      </c>
    </row>
    <row r="2013" spans="5:5" x14ac:dyDescent="0.25">
      <c r="E2013" s="3" t="str">
        <f t="shared" si="31"/>
        <v/>
      </c>
    </row>
    <row r="2014" spans="5:5" x14ac:dyDescent="0.25">
      <c r="E2014" s="3" t="str">
        <f t="shared" si="31"/>
        <v/>
      </c>
    </row>
    <row r="2015" spans="5:5" x14ac:dyDescent="0.25">
      <c r="E2015" s="3" t="str">
        <f t="shared" si="31"/>
        <v/>
      </c>
    </row>
    <row r="2016" spans="5:5" x14ac:dyDescent="0.25">
      <c r="E2016" s="3" t="str">
        <f t="shared" si="31"/>
        <v/>
      </c>
    </row>
    <row r="2017" spans="5:5" x14ac:dyDescent="0.25">
      <c r="E2017" s="3" t="str">
        <f t="shared" si="31"/>
        <v/>
      </c>
    </row>
    <row r="2018" spans="5:5" x14ac:dyDescent="0.25">
      <c r="E2018" s="3" t="str">
        <f t="shared" si="31"/>
        <v/>
      </c>
    </row>
    <row r="2019" spans="5:5" x14ac:dyDescent="0.25">
      <c r="E2019" s="3" t="str">
        <f t="shared" si="31"/>
        <v/>
      </c>
    </row>
    <row r="2020" spans="5:5" x14ac:dyDescent="0.25">
      <c r="E2020" s="3" t="str">
        <f t="shared" si="31"/>
        <v/>
      </c>
    </row>
    <row r="2021" spans="5:5" x14ac:dyDescent="0.25">
      <c r="E2021" s="3" t="str">
        <f t="shared" si="31"/>
        <v/>
      </c>
    </row>
    <row r="2022" spans="5:5" x14ac:dyDescent="0.25">
      <c r="E2022" s="3" t="str">
        <f t="shared" si="31"/>
        <v/>
      </c>
    </row>
    <row r="2023" spans="5:5" x14ac:dyDescent="0.25">
      <c r="E2023" s="3" t="str">
        <f t="shared" si="31"/>
        <v/>
      </c>
    </row>
    <row r="2024" spans="5:5" x14ac:dyDescent="0.25">
      <c r="E2024" s="3" t="str">
        <f t="shared" si="31"/>
        <v/>
      </c>
    </row>
    <row r="2025" spans="5:5" x14ac:dyDescent="0.25">
      <c r="E2025" s="3" t="str">
        <f t="shared" si="31"/>
        <v/>
      </c>
    </row>
    <row r="2026" spans="5:5" x14ac:dyDescent="0.25">
      <c r="E2026" s="3" t="str">
        <f t="shared" si="31"/>
        <v/>
      </c>
    </row>
    <row r="2027" spans="5:5" x14ac:dyDescent="0.25">
      <c r="E2027" s="3" t="str">
        <f t="shared" si="31"/>
        <v/>
      </c>
    </row>
    <row r="2028" spans="5:5" x14ac:dyDescent="0.25">
      <c r="E2028" s="3" t="str">
        <f t="shared" si="31"/>
        <v/>
      </c>
    </row>
    <row r="2029" spans="5:5" x14ac:dyDescent="0.25">
      <c r="E2029" s="3" t="str">
        <f t="shared" si="31"/>
        <v/>
      </c>
    </row>
    <row r="2030" spans="5:5" x14ac:dyDescent="0.25">
      <c r="E2030" s="3" t="str">
        <f t="shared" si="31"/>
        <v/>
      </c>
    </row>
    <row r="2031" spans="5:5" x14ac:dyDescent="0.25">
      <c r="E2031" s="3" t="str">
        <f t="shared" si="31"/>
        <v/>
      </c>
    </row>
    <row r="2032" spans="5:5" x14ac:dyDescent="0.25">
      <c r="E2032" s="3" t="str">
        <f t="shared" si="31"/>
        <v/>
      </c>
    </row>
    <row r="2033" spans="5:5" x14ac:dyDescent="0.25">
      <c r="E2033" s="3" t="str">
        <f t="shared" si="31"/>
        <v/>
      </c>
    </row>
    <row r="2034" spans="5:5" x14ac:dyDescent="0.25">
      <c r="E2034" s="3" t="str">
        <f t="shared" si="31"/>
        <v/>
      </c>
    </row>
    <row r="2035" spans="5:5" x14ac:dyDescent="0.25">
      <c r="E2035" s="3" t="str">
        <f t="shared" si="31"/>
        <v/>
      </c>
    </row>
    <row r="2036" spans="5:5" x14ac:dyDescent="0.25">
      <c r="E2036" s="3" t="str">
        <f t="shared" si="31"/>
        <v/>
      </c>
    </row>
    <row r="2037" spans="5:5" x14ac:dyDescent="0.25">
      <c r="E2037" s="3" t="str">
        <f t="shared" si="31"/>
        <v/>
      </c>
    </row>
    <row r="2038" spans="5:5" x14ac:dyDescent="0.25">
      <c r="E2038" s="3" t="str">
        <f t="shared" si="31"/>
        <v/>
      </c>
    </row>
    <row r="2039" spans="5:5" x14ac:dyDescent="0.25">
      <c r="E2039" s="3" t="str">
        <f t="shared" si="31"/>
        <v/>
      </c>
    </row>
    <row r="2040" spans="5:5" x14ac:dyDescent="0.25">
      <c r="E2040" s="3" t="str">
        <f t="shared" si="31"/>
        <v/>
      </c>
    </row>
    <row r="2041" spans="5:5" x14ac:dyDescent="0.25">
      <c r="E2041" s="3" t="str">
        <f t="shared" si="31"/>
        <v/>
      </c>
    </row>
    <row r="2042" spans="5:5" x14ac:dyDescent="0.25">
      <c r="E2042" s="3" t="str">
        <f t="shared" si="31"/>
        <v/>
      </c>
    </row>
    <row r="2043" spans="5:5" x14ac:dyDescent="0.25">
      <c r="E2043" s="3" t="str">
        <f t="shared" si="31"/>
        <v/>
      </c>
    </row>
    <row r="2044" spans="5:5" x14ac:dyDescent="0.25">
      <c r="E2044" s="3" t="str">
        <f t="shared" si="31"/>
        <v/>
      </c>
    </row>
    <row r="2045" spans="5:5" x14ac:dyDescent="0.25">
      <c r="E2045" s="3" t="str">
        <f t="shared" si="31"/>
        <v/>
      </c>
    </row>
    <row r="2046" spans="5:5" x14ac:dyDescent="0.25">
      <c r="E2046" s="3" t="str">
        <f t="shared" si="31"/>
        <v/>
      </c>
    </row>
    <row r="2047" spans="5:5" x14ac:dyDescent="0.25">
      <c r="E2047" s="3" t="str">
        <f t="shared" si="31"/>
        <v/>
      </c>
    </row>
    <row r="2048" spans="5:5" x14ac:dyDescent="0.25">
      <c r="E2048" s="3" t="str">
        <f t="shared" si="31"/>
        <v/>
      </c>
    </row>
    <row r="2049" spans="5:5" x14ac:dyDescent="0.25">
      <c r="E2049" s="3" t="str">
        <f t="shared" si="31"/>
        <v/>
      </c>
    </row>
    <row r="2050" spans="5:5" x14ac:dyDescent="0.25">
      <c r="E2050" s="3" t="str">
        <f t="shared" si="31"/>
        <v/>
      </c>
    </row>
    <row r="2051" spans="5:5" x14ac:dyDescent="0.25">
      <c r="E2051" s="3" t="str">
        <f t="shared" ref="E2051:E2114" si="32">IF(COUNTIF(C$3:C$5000,C2051)&gt;1,"DUPLICADO","")</f>
        <v/>
      </c>
    </row>
    <row r="2052" spans="5:5" x14ac:dyDescent="0.25">
      <c r="E2052" s="3" t="str">
        <f t="shared" si="32"/>
        <v/>
      </c>
    </row>
    <row r="2053" spans="5:5" x14ac:dyDescent="0.25">
      <c r="E2053" s="3" t="str">
        <f t="shared" si="32"/>
        <v/>
      </c>
    </row>
    <row r="2054" spans="5:5" x14ac:dyDescent="0.25">
      <c r="E2054" s="3" t="str">
        <f t="shared" si="32"/>
        <v/>
      </c>
    </row>
    <row r="2055" spans="5:5" x14ac:dyDescent="0.25">
      <c r="E2055" s="3" t="str">
        <f t="shared" si="32"/>
        <v/>
      </c>
    </row>
    <row r="2056" spans="5:5" x14ac:dyDescent="0.25">
      <c r="E2056" s="3" t="str">
        <f t="shared" si="32"/>
        <v/>
      </c>
    </row>
    <row r="2057" spans="5:5" x14ac:dyDescent="0.25">
      <c r="E2057" s="3" t="str">
        <f t="shared" si="32"/>
        <v/>
      </c>
    </row>
    <row r="2058" spans="5:5" x14ac:dyDescent="0.25">
      <c r="E2058" s="3" t="str">
        <f t="shared" si="32"/>
        <v/>
      </c>
    </row>
    <row r="2059" spans="5:5" x14ac:dyDescent="0.25">
      <c r="E2059" s="3" t="str">
        <f t="shared" si="32"/>
        <v/>
      </c>
    </row>
    <row r="2060" spans="5:5" x14ac:dyDescent="0.25">
      <c r="E2060" s="3" t="str">
        <f t="shared" si="32"/>
        <v/>
      </c>
    </row>
    <row r="2061" spans="5:5" x14ac:dyDescent="0.25">
      <c r="E2061" s="3" t="str">
        <f t="shared" si="32"/>
        <v/>
      </c>
    </row>
    <row r="2062" spans="5:5" x14ac:dyDescent="0.25">
      <c r="E2062" s="3" t="str">
        <f t="shared" si="32"/>
        <v/>
      </c>
    </row>
    <row r="2063" spans="5:5" x14ac:dyDescent="0.25">
      <c r="E2063" s="3" t="str">
        <f t="shared" si="32"/>
        <v/>
      </c>
    </row>
    <row r="2064" spans="5:5" x14ac:dyDescent="0.25">
      <c r="E2064" s="3" t="str">
        <f t="shared" si="32"/>
        <v/>
      </c>
    </row>
    <row r="2065" spans="5:5" x14ac:dyDescent="0.25">
      <c r="E2065" s="3" t="str">
        <f t="shared" si="32"/>
        <v/>
      </c>
    </row>
    <row r="2066" spans="5:5" x14ac:dyDescent="0.25">
      <c r="E2066" s="3" t="str">
        <f t="shared" si="32"/>
        <v/>
      </c>
    </row>
    <row r="2067" spans="5:5" x14ac:dyDescent="0.25">
      <c r="E2067" s="3" t="str">
        <f t="shared" si="32"/>
        <v/>
      </c>
    </row>
    <row r="2068" spans="5:5" x14ac:dyDescent="0.25">
      <c r="E2068" s="3" t="str">
        <f t="shared" si="32"/>
        <v/>
      </c>
    </row>
    <row r="2069" spans="5:5" x14ac:dyDescent="0.25">
      <c r="E2069" s="3" t="str">
        <f t="shared" si="32"/>
        <v/>
      </c>
    </row>
    <row r="2070" spans="5:5" x14ac:dyDescent="0.25">
      <c r="E2070" s="3" t="str">
        <f t="shared" si="32"/>
        <v/>
      </c>
    </row>
    <row r="2071" spans="5:5" x14ac:dyDescent="0.25">
      <c r="E2071" s="3" t="str">
        <f t="shared" si="32"/>
        <v/>
      </c>
    </row>
    <row r="2072" spans="5:5" x14ac:dyDescent="0.25">
      <c r="E2072" s="3" t="str">
        <f t="shared" si="32"/>
        <v/>
      </c>
    </row>
    <row r="2073" spans="5:5" x14ac:dyDescent="0.25">
      <c r="E2073" s="3" t="str">
        <f t="shared" si="32"/>
        <v/>
      </c>
    </row>
    <row r="2074" spans="5:5" x14ac:dyDescent="0.25">
      <c r="E2074" s="3" t="str">
        <f t="shared" si="32"/>
        <v/>
      </c>
    </row>
    <row r="2075" spans="5:5" x14ac:dyDescent="0.25">
      <c r="E2075" s="3" t="str">
        <f t="shared" si="32"/>
        <v/>
      </c>
    </row>
    <row r="2076" spans="5:5" x14ac:dyDescent="0.25">
      <c r="E2076" s="3" t="str">
        <f t="shared" si="32"/>
        <v/>
      </c>
    </row>
    <row r="2077" spans="5:5" x14ac:dyDescent="0.25">
      <c r="E2077" s="3" t="str">
        <f t="shared" si="32"/>
        <v/>
      </c>
    </row>
    <row r="2078" spans="5:5" x14ac:dyDescent="0.25">
      <c r="E2078" s="3" t="str">
        <f t="shared" si="32"/>
        <v/>
      </c>
    </row>
    <row r="2079" spans="5:5" x14ac:dyDescent="0.25">
      <c r="E2079" s="3" t="str">
        <f t="shared" si="32"/>
        <v/>
      </c>
    </row>
    <row r="2080" spans="5:5" x14ac:dyDescent="0.25">
      <c r="E2080" s="3" t="str">
        <f t="shared" si="32"/>
        <v/>
      </c>
    </row>
    <row r="2081" spans="5:5" x14ac:dyDescent="0.25">
      <c r="E2081" s="3" t="str">
        <f t="shared" si="32"/>
        <v/>
      </c>
    </row>
    <row r="2082" spans="5:5" x14ac:dyDescent="0.25">
      <c r="E2082" s="3" t="str">
        <f t="shared" si="32"/>
        <v/>
      </c>
    </row>
    <row r="2083" spans="5:5" x14ac:dyDescent="0.25">
      <c r="E2083" s="3" t="str">
        <f t="shared" si="32"/>
        <v/>
      </c>
    </row>
    <row r="2084" spans="5:5" x14ac:dyDescent="0.25">
      <c r="E2084" s="3" t="str">
        <f t="shared" si="32"/>
        <v/>
      </c>
    </row>
    <row r="2085" spans="5:5" x14ac:dyDescent="0.25">
      <c r="E2085" s="3" t="str">
        <f t="shared" si="32"/>
        <v/>
      </c>
    </row>
    <row r="2086" spans="5:5" x14ac:dyDescent="0.25">
      <c r="E2086" s="3" t="str">
        <f t="shared" si="32"/>
        <v/>
      </c>
    </row>
    <row r="2087" spans="5:5" x14ac:dyDescent="0.25">
      <c r="E2087" s="3" t="str">
        <f t="shared" si="32"/>
        <v/>
      </c>
    </row>
    <row r="2088" spans="5:5" x14ac:dyDescent="0.25">
      <c r="E2088" s="3" t="str">
        <f t="shared" si="32"/>
        <v/>
      </c>
    </row>
    <row r="2089" spans="5:5" x14ac:dyDescent="0.25">
      <c r="E2089" s="3" t="str">
        <f t="shared" si="32"/>
        <v/>
      </c>
    </row>
    <row r="2090" spans="5:5" x14ac:dyDescent="0.25">
      <c r="E2090" s="3" t="str">
        <f t="shared" si="32"/>
        <v/>
      </c>
    </row>
    <row r="2091" spans="5:5" x14ac:dyDescent="0.25">
      <c r="E2091" s="3" t="str">
        <f t="shared" si="32"/>
        <v/>
      </c>
    </row>
    <row r="2092" spans="5:5" x14ac:dyDescent="0.25">
      <c r="E2092" s="3" t="str">
        <f t="shared" si="32"/>
        <v/>
      </c>
    </row>
    <row r="2093" spans="5:5" x14ac:dyDescent="0.25">
      <c r="E2093" s="3" t="str">
        <f t="shared" si="32"/>
        <v/>
      </c>
    </row>
    <row r="2094" spans="5:5" x14ac:dyDescent="0.25">
      <c r="E2094" s="3" t="str">
        <f t="shared" si="32"/>
        <v/>
      </c>
    </row>
    <row r="2095" spans="5:5" x14ac:dyDescent="0.25">
      <c r="E2095" s="3" t="str">
        <f t="shared" si="32"/>
        <v/>
      </c>
    </row>
    <row r="2096" spans="5:5" x14ac:dyDescent="0.25">
      <c r="E2096" s="3" t="str">
        <f t="shared" si="32"/>
        <v/>
      </c>
    </row>
    <row r="2097" spans="5:5" x14ac:dyDescent="0.25">
      <c r="E2097" s="3" t="str">
        <f t="shared" si="32"/>
        <v/>
      </c>
    </row>
    <row r="2098" spans="5:5" x14ac:dyDescent="0.25">
      <c r="E2098" s="3" t="str">
        <f t="shared" si="32"/>
        <v/>
      </c>
    </row>
    <row r="2099" spans="5:5" x14ac:dyDescent="0.25">
      <c r="E2099" s="3" t="str">
        <f t="shared" si="32"/>
        <v/>
      </c>
    </row>
    <row r="2100" spans="5:5" x14ac:dyDescent="0.25">
      <c r="E2100" s="3" t="str">
        <f t="shared" si="32"/>
        <v/>
      </c>
    </row>
    <row r="2101" spans="5:5" x14ac:dyDescent="0.25">
      <c r="E2101" s="3" t="str">
        <f t="shared" si="32"/>
        <v/>
      </c>
    </row>
    <row r="2102" spans="5:5" x14ac:dyDescent="0.25">
      <c r="E2102" s="3" t="str">
        <f t="shared" si="32"/>
        <v/>
      </c>
    </row>
    <row r="2103" spans="5:5" x14ac:dyDescent="0.25">
      <c r="E2103" s="3" t="str">
        <f t="shared" si="32"/>
        <v/>
      </c>
    </row>
    <row r="2104" spans="5:5" x14ac:dyDescent="0.25">
      <c r="E2104" s="3" t="str">
        <f t="shared" si="32"/>
        <v/>
      </c>
    </row>
    <row r="2105" spans="5:5" x14ac:dyDescent="0.25">
      <c r="E2105" s="3" t="str">
        <f t="shared" si="32"/>
        <v/>
      </c>
    </row>
    <row r="2106" spans="5:5" x14ac:dyDescent="0.25">
      <c r="E2106" s="3" t="str">
        <f t="shared" si="32"/>
        <v/>
      </c>
    </row>
    <row r="2107" spans="5:5" x14ac:dyDescent="0.25">
      <c r="E2107" s="3" t="str">
        <f t="shared" si="32"/>
        <v/>
      </c>
    </row>
    <row r="2108" spans="5:5" x14ac:dyDescent="0.25">
      <c r="E2108" s="3" t="str">
        <f t="shared" si="32"/>
        <v/>
      </c>
    </row>
    <row r="2109" spans="5:5" x14ac:dyDescent="0.25">
      <c r="E2109" s="3" t="str">
        <f t="shared" si="32"/>
        <v/>
      </c>
    </row>
    <row r="2110" spans="5:5" x14ac:dyDescent="0.25">
      <c r="E2110" s="3" t="str">
        <f t="shared" si="32"/>
        <v/>
      </c>
    </row>
    <row r="2111" spans="5:5" x14ac:dyDescent="0.25">
      <c r="E2111" s="3" t="str">
        <f t="shared" si="32"/>
        <v/>
      </c>
    </row>
    <row r="2112" spans="5:5" x14ac:dyDescent="0.25">
      <c r="E2112" s="3" t="str">
        <f t="shared" si="32"/>
        <v/>
      </c>
    </row>
    <row r="2113" spans="5:5" x14ac:dyDescent="0.25">
      <c r="E2113" s="3" t="str">
        <f t="shared" si="32"/>
        <v/>
      </c>
    </row>
    <row r="2114" spans="5:5" x14ac:dyDescent="0.25">
      <c r="E2114" s="3" t="str">
        <f t="shared" si="32"/>
        <v/>
      </c>
    </row>
    <row r="2115" spans="5:5" x14ac:dyDescent="0.25">
      <c r="E2115" s="3" t="str">
        <f t="shared" ref="E2115:E2178" si="33">IF(COUNTIF(C$3:C$5000,C2115)&gt;1,"DUPLICADO","")</f>
        <v/>
      </c>
    </row>
    <row r="2116" spans="5:5" x14ac:dyDescent="0.25">
      <c r="E2116" s="3" t="str">
        <f t="shared" si="33"/>
        <v/>
      </c>
    </row>
    <row r="2117" spans="5:5" x14ac:dyDescent="0.25">
      <c r="E2117" s="3" t="str">
        <f t="shared" si="33"/>
        <v/>
      </c>
    </row>
    <row r="2118" spans="5:5" x14ac:dyDescent="0.25">
      <c r="E2118" s="3" t="str">
        <f t="shared" si="33"/>
        <v/>
      </c>
    </row>
    <row r="2119" spans="5:5" x14ac:dyDescent="0.25">
      <c r="E2119" s="3" t="str">
        <f t="shared" si="33"/>
        <v/>
      </c>
    </row>
    <row r="2120" spans="5:5" x14ac:dyDescent="0.25">
      <c r="E2120" s="3" t="str">
        <f t="shared" si="33"/>
        <v/>
      </c>
    </row>
    <row r="2121" spans="5:5" x14ac:dyDescent="0.25">
      <c r="E2121" s="3" t="str">
        <f t="shared" si="33"/>
        <v/>
      </c>
    </row>
    <row r="2122" spans="5:5" x14ac:dyDescent="0.25">
      <c r="E2122" s="3" t="str">
        <f t="shared" si="33"/>
        <v/>
      </c>
    </row>
    <row r="2123" spans="5:5" x14ac:dyDescent="0.25">
      <c r="E2123" s="3" t="str">
        <f t="shared" si="33"/>
        <v/>
      </c>
    </row>
    <row r="2124" spans="5:5" x14ac:dyDescent="0.25">
      <c r="E2124" s="3" t="str">
        <f t="shared" si="33"/>
        <v/>
      </c>
    </row>
    <row r="2125" spans="5:5" x14ac:dyDescent="0.25">
      <c r="E2125" s="3" t="str">
        <f t="shared" si="33"/>
        <v/>
      </c>
    </row>
    <row r="2126" spans="5:5" x14ac:dyDescent="0.25">
      <c r="E2126" s="3" t="str">
        <f t="shared" si="33"/>
        <v/>
      </c>
    </row>
    <row r="2127" spans="5:5" x14ac:dyDescent="0.25">
      <c r="E2127" s="3" t="str">
        <f t="shared" si="33"/>
        <v/>
      </c>
    </row>
    <row r="2128" spans="5:5" x14ac:dyDescent="0.25">
      <c r="E2128" s="3" t="str">
        <f t="shared" si="33"/>
        <v/>
      </c>
    </row>
    <row r="2129" spans="5:5" x14ac:dyDescent="0.25">
      <c r="E2129" s="3" t="str">
        <f t="shared" si="33"/>
        <v/>
      </c>
    </row>
    <row r="2130" spans="5:5" x14ac:dyDescent="0.25">
      <c r="E2130" s="3" t="str">
        <f t="shared" si="33"/>
        <v/>
      </c>
    </row>
    <row r="2131" spans="5:5" x14ac:dyDescent="0.25">
      <c r="E2131" s="3" t="str">
        <f t="shared" si="33"/>
        <v/>
      </c>
    </row>
    <row r="2132" spans="5:5" x14ac:dyDescent="0.25">
      <c r="E2132" s="3" t="str">
        <f t="shared" si="33"/>
        <v/>
      </c>
    </row>
    <row r="2133" spans="5:5" x14ac:dyDescent="0.25">
      <c r="E2133" s="3" t="str">
        <f t="shared" si="33"/>
        <v/>
      </c>
    </row>
    <row r="2134" spans="5:5" x14ac:dyDescent="0.25">
      <c r="E2134" s="3" t="str">
        <f t="shared" si="33"/>
        <v/>
      </c>
    </row>
    <row r="2135" spans="5:5" x14ac:dyDescent="0.25">
      <c r="E2135" s="3" t="str">
        <f t="shared" si="33"/>
        <v/>
      </c>
    </row>
    <row r="2136" spans="5:5" x14ac:dyDescent="0.25">
      <c r="E2136" s="3" t="str">
        <f t="shared" si="33"/>
        <v/>
      </c>
    </row>
    <row r="2137" spans="5:5" x14ac:dyDescent="0.25">
      <c r="E2137" s="3" t="str">
        <f t="shared" si="33"/>
        <v/>
      </c>
    </row>
    <row r="2138" spans="5:5" x14ac:dyDescent="0.25">
      <c r="E2138" s="3" t="str">
        <f t="shared" si="33"/>
        <v/>
      </c>
    </row>
    <row r="2139" spans="5:5" x14ac:dyDescent="0.25">
      <c r="E2139" s="3" t="str">
        <f t="shared" si="33"/>
        <v/>
      </c>
    </row>
    <row r="2140" spans="5:5" x14ac:dyDescent="0.25">
      <c r="E2140" s="3" t="str">
        <f t="shared" si="33"/>
        <v/>
      </c>
    </row>
    <row r="2141" spans="5:5" x14ac:dyDescent="0.25">
      <c r="E2141" s="3" t="str">
        <f t="shared" si="33"/>
        <v/>
      </c>
    </row>
    <row r="2142" spans="5:5" x14ac:dyDescent="0.25">
      <c r="E2142" s="3" t="str">
        <f t="shared" si="33"/>
        <v/>
      </c>
    </row>
    <row r="2143" spans="5:5" x14ac:dyDescent="0.25">
      <c r="E2143" s="3" t="str">
        <f t="shared" si="33"/>
        <v/>
      </c>
    </row>
    <row r="2144" spans="5:5" x14ac:dyDescent="0.25">
      <c r="E2144" s="3" t="str">
        <f t="shared" si="33"/>
        <v/>
      </c>
    </row>
    <row r="2145" spans="5:5" x14ac:dyDescent="0.25">
      <c r="E2145" s="3" t="str">
        <f t="shared" si="33"/>
        <v/>
      </c>
    </row>
    <row r="2146" spans="5:5" x14ac:dyDescent="0.25">
      <c r="E2146" s="3" t="str">
        <f t="shared" si="33"/>
        <v/>
      </c>
    </row>
    <row r="2147" spans="5:5" x14ac:dyDescent="0.25">
      <c r="E2147" s="3" t="str">
        <f t="shared" si="33"/>
        <v/>
      </c>
    </row>
    <row r="2148" spans="5:5" x14ac:dyDescent="0.25">
      <c r="E2148" s="3" t="str">
        <f t="shared" si="33"/>
        <v/>
      </c>
    </row>
    <row r="2149" spans="5:5" x14ac:dyDescent="0.25">
      <c r="E2149" s="3" t="str">
        <f t="shared" si="33"/>
        <v/>
      </c>
    </row>
    <row r="2150" spans="5:5" x14ac:dyDescent="0.25">
      <c r="E2150" s="3" t="str">
        <f t="shared" si="33"/>
        <v/>
      </c>
    </row>
    <row r="2151" spans="5:5" x14ac:dyDescent="0.25">
      <c r="E2151" s="3" t="str">
        <f t="shared" si="33"/>
        <v/>
      </c>
    </row>
    <row r="2152" spans="5:5" x14ac:dyDescent="0.25">
      <c r="E2152" s="3" t="str">
        <f t="shared" si="33"/>
        <v/>
      </c>
    </row>
    <row r="2153" spans="5:5" x14ac:dyDescent="0.25">
      <c r="E2153" s="3" t="str">
        <f t="shared" si="33"/>
        <v/>
      </c>
    </row>
    <row r="2154" spans="5:5" x14ac:dyDescent="0.25">
      <c r="E2154" s="3" t="str">
        <f t="shared" si="33"/>
        <v/>
      </c>
    </row>
    <row r="2155" spans="5:5" x14ac:dyDescent="0.25">
      <c r="E2155" s="3" t="str">
        <f t="shared" si="33"/>
        <v/>
      </c>
    </row>
    <row r="2156" spans="5:5" x14ac:dyDescent="0.25">
      <c r="E2156" s="3" t="str">
        <f t="shared" si="33"/>
        <v/>
      </c>
    </row>
    <row r="2157" spans="5:5" x14ac:dyDescent="0.25">
      <c r="E2157" s="3" t="str">
        <f t="shared" si="33"/>
        <v/>
      </c>
    </row>
    <row r="2158" spans="5:5" x14ac:dyDescent="0.25">
      <c r="E2158" s="3" t="str">
        <f t="shared" si="33"/>
        <v/>
      </c>
    </row>
    <row r="2159" spans="5:5" x14ac:dyDescent="0.25">
      <c r="E2159" s="3" t="str">
        <f t="shared" si="33"/>
        <v/>
      </c>
    </row>
    <row r="2160" spans="5:5" x14ac:dyDescent="0.25">
      <c r="E2160" s="3" t="str">
        <f t="shared" si="33"/>
        <v/>
      </c>
    </row>
    <row r="2161" spans="5:5" x14ac:dyDescent="0.25">
      <c r="E2161" s="3" t="str">
        <f t="shared" si="33"/>
        <v/>
      </c>
    </row>
    <row r="2162" spans="5:5" x14ac:dyDescent="0.25">
      <c r="E2162" s="3" t="str">
        <f t="shared" si="33"/>
        <v/>
      </c>
    </row>
    <row r="2163" spans="5:5" x14ac:dyDescent="0.25">
      <c r="E2163" s="3" t="str">
        <f t="shared" si="33"/>
        <v/>
      </c>
    </row>
    <row r="2164" spans="5:5" x14ac:dyDescent="0.25">
      <c r="E2164" s="3" t="str">
        <f t="shared" si="33"/>
        <v/>
      </c>
    </row>
    <row r="2165" spans="5:5" x14ac:dyDescent="0.25">
      <c r="E2165" s="3" t="str">
        <f t="shared" si="33"/>
        <v/>
      </c>
    </row>
    <row r="2166" spans="5:5" x14ac:dyDescent="0.25">
      <c r="E2166" s="3" t="str">
        <f t="shared" si="33"/>
        <v/>
      </c>
    </row>
    <row r="2167" spans="5:5" x14ac:dyDescent="0.25">
      <c r="E2167" s="3" t="str">
        <f t="shared" si="33"/>
        <v/>
      </c>
    </row>
    <row r="2168" spans="5:5" x14ac:dyDescent="0.25">
      <c r="E2168" s="3" t="str">
        <f t="shared" si="33"/>
        <v/>
      </c>
    </row>
    <row r="2169" spans="5:5" x14ac:dyDescent="0.25">
      <c r="E2169" s="3" t="str">
        <f t="shared" si="33"/>
        <v/>
      </c>
    </row>
    <row r="2170" spans="5:5" x14ac:dyDescent="0.25">
      <c r="E2170" s="3" t="str">
        <f t="shared" si="33"/>
        <v/>
      </c>
    </row>
    <row r="2171" spans="5:5" x14ac:dyDescent="0.25">
      <c r="E2171" s="3" t="str">
        <f t="shared" si="33"/>
        <v/>
      </c>
    </row>
    <row r="2172" spans="5:5" x14ac:dyDescent="0.25">
      <c r="E2172" s="3" t="str">
        <f t="shared" si="33"/>
        <v/>
      </c>
    </row>
    <row r="2173" spans="5:5" x14ac:dyDescent="0.25">
      <c r="E2173" s="3" t="str">
        <f t="shared" si="33"/>
        <v/>
      </c>
    </row>
    <row r="2174" spans="5:5" x14ac:dyDescent="0.25">
      <c r="E2174" s="3" t="str">
        <f t="shared" si="33"/>
        <v/>
      </c>
    </row>
    <row r="2175" spans="5:5" x14ac:dyDescent="0.25">
      <c r="E2175" s="3" t="str">
        <f t="shared" si="33"/>
        <v/>
      </c>
    </row>
    <row r="2176" spans="5:5" x14ac:dyDescent="0.25">
      <c r="E2176" s="3" t="str">
        <f t="shared" si="33"/>
        <v/>
      </c>
    </row>
    <row r="2177" spans="5:5" x14ac:dyDescent="0.25">
      <c r="E2177" s="3" t="str">
        <f t="shared" si="33"/>
        <v/>
      </c>
    </row>
    <row r="2178" spans="5:5" x14ac:dyDescent="0.25">
      <c r="E2178" s="3" t="str">
        <f t="shared" si="33"/>
        <v/>
      </c>
    </row>
    <row r="2179" spans="5:5" x14ac:dyDescent="0.25">
      <c r="E2179" s="3" t="str">
        <f t="shared" ref="E2179:E2242" si="34">IF(COUNTIF(C$3:C$5000,C2179)&gt;1,"DUPLICADO","")</f>
        <v/>
      </c>
    </row>
    <row r="2180" spans="5:5" x14ac:dyDescent="0.25">
      <c r="E2180" s="3" t="str">
        <f t="shared" si="34"/>
        <v/>
      </c>
    </row>
    <row r="2181" spans="5:5" x14ac:dyDescent="0.25">
      <c r="E2181" s="3" t="str">
        <f t="shared" si="34"/>
        <v/>
      </c>
    </row>
    <row r="2182" spans="5:5" x14ac:dyDescent="0.25">
      <c r="E2182" s="3" t="str">
        <f t="shared" si="34"/>
        <v/>
      </c>
    </row>
    <row r="2183" spans="5:5" x14ac:dyDescent="0.25">
      <c r="E2183" s="3" t="str">
        <f t="shared" si="34"/>
        <v/>
      </c>
    </row>
    <row r="2184" spans="5:5" x14ac:dyDescent="0.25">
      <c r="E2184" s="3" t="str">
        <f t="shared" si="34"/>
        <v/>
      </c>
    </row>
    <row r="2185" spans="5:5" x14ac:dyDescent="0.25">
      <c r="E2185" s="3" t="str">
        <f t="shared" si="34"/>
        <v/>
      </c>
    </row>
    <row r="2186" spans="5:5" x14ac:dyDescent="0.25">
      <c r="E2186" s="3" t="str">
        <f t="shared" si="34"/>
        <v/>
      </c>
    </row>
    <row r="2187" spans="5:5" x14ac:dyDescent="0.25">
      <c r="E2187" s="3" t="str">
        <f t="shared" si="34"/>
        <v/>
      </c>
    </row>
    <row r="2188" spans="5:5" x14ac:dyDescent="0.25">
      <c r="E2188" s="3" t="str">
        <f t="shared" si="34"/>
        <v/>
      </c>
    </row>
    <row r="2189" spans="5:5" x14ac:dyDescent="0.25">
      <c r="E2189" s="3" t="str">
        <f t="shared" si="34"/>
        <v/>
      </c>
    </row>
    <row r="2190" spans="5:5" x14ac:dyDescent="0.25">
      <c r="E2190" s="3" t="str">
        <f t="shared" si="34"/>
        <v/>
      </c>
    </row>
    <row r="2191" spans="5:5" x14ac:dyDescent="0.25">
      <c r="E2191" s="3" t="str">
        <f t="shared" si="34"/>
        <v/>
      </c>
    </row>
    <row r="2192" spans="5:5" x14ac:dyDescent="0.25">
      <c r="E2192" s="3" t="str">
        <f t="shared" si="34"/>
        <v/>
      </c>
    </row>
    <row r="2193" spans="5:5" x14ac:dyDescent="0.25">
      <c r="E2193" s="3" t="str">
        <f t="shared" si="34"/>
        <v/>
      </c>
    </row>
    <row r="2194" spans="5:5" x14ac:dyDescent="0.25">
      <c r="E2194" s="3" t="str">
        <f t="shared" si="34"/>
        <v/>
      </c>
    </row>
    <row r="2195" spans="5:5" x14ac:dyDescent="0.25">
      <c r="E2195" s="3" t="str">
        <f t="shared" si="34"/>
        <v/>
      </c>
    </row>
    <row r="2196" spans="5:5" x14ac:dyDescent="0.25">
      <c r="E2196" s="3" t="str">
        <f t="shared" si="34"/>
        <v/>
      </c>
    </row>
    <row r="2197" spans="5:5" x14ac:dyDescent="0.25">
      <c r="E2197" s="3" t="str">
        <f t="shared" si="34"/>
        <v/>
      </c>
    </row>
    <row r="2198" spans="5:5" x14ac:dyDescent="0.25">
      <c r="E2198" s="3" t="str">
        <f t="shared" si="34"/>
        <v/>
      </c>
    </row>
    <row r="2199" spans="5:5" x14ac:dyDescent="0.25">
      <c r="E2199" s="3" t="str">
        <f t="shared" si="34"/>
        <v/>
      </c>
    </row>
    <row r="2200" spans="5:5" x14ac:dyDescent="0.25">
      <c r="E2200" s="3" t="str">
        <f t="shared" si="34"/>
        <v/>
      </c>
    </row>
    <row r="2201" spans="5:5" x14ac:dyDescent="0.25">
      <c r="E2201" s="3" t="str">
        <f t="shared" si="34"/>
        <v/>
      </c>
    </row>
    <row r="2202" spans="5:5" x14ac:dyDescent="0.25">
      <c r="E2202" s="3" t="str">
        <f t="shared" si="34"/>
        <v/>
      </c>
    </row>
    <row r="2203" spans="5:5" x14ac:dyDescent="0.25">
      <c r="E2203" s="3" t="str">
        <f t="shared" si="34"/>
        <v/>
      </c>
    </row>
    <row r="2204" spans="5:5" x14ac:dyDescent="0.25">
      <c r="E2204" s="3" t="str">
        <f t="shared" si="34"/>
        <v/>
      </c>
    </row>
    <row r="2205" spans="5:5" x14ac:dyDescent="0.25">
      <c r="E2205" s="3" t="str">
        <f t="shared" si="34"/>
        <v/>
      </c>
    </row>
    <row r="2206" spans="5:5" x14ac:dyDescent="0.25">
      <c r="E2206" s="3" t="str">
        <f t="shared" si="34"/>
        <v/>
      </c>
    </row>
    <row r="2207" spans="5:5" x14ac:dyDescent="0.25">
      <c r="E2207" s="3" t="str">
        <f t="shared" si="34"/>
        <v/>
      </c>
    </row>
    <row r="2208" spans="5:5" x14ac:dyDescent="0.25">
      <c r="E2208" s="3" t="str">
        <f t="shared" si="34"/>
        <v/>
      </c>
    </row>
    <row r="2209" spans="5:5" x14ac:dyDescent="0.25">
      <c r="E2209" s="3" t="str">
        <f t="shared" si="34"/>
        <v/>
      </c>
    </row>
    <row r="2210" spans="5:5" x14ac:dyDescent="0.25">
      <c r="E2210" s="3" t="str">
        <f t="shared" si="34"/>
        <v/>
      </c>
    </row>
    <row r="2211" spans="5:5" x14ac:dyDescent="0.25">
      <c r="E2211" s="3" t="str">
        <f t="shared" si="34"/>
        <v/>
      </c>
    </row>
    <row r="2212" spans="5:5" x14ac:dyDescent="0.25">
      <c r="E2212" s="3" t="str">
        <f t="shared" si="34"/>
        <v/>
      </c>
    </row>
    <row r="2213" spans="5:5" x14ac:dyDescent="0.25">
      <c r="E2213" s="3" t="str">
        <f t="shared" si="34"/>
        <v/>
      </c>
    </row>
    <row r="2214" spans="5:5" x14ac:dyDescent="0.25">
      <c r="E2214" s="3" t="str">
        <f t="shared" si="34"/>
        <v/>
      </c>
    </row>
    <row r="2215" spans="5:5" x14ac:dyDescent="0.25">
      <c r="E2215" s="3" t="str">
        <f t="shared" si="34"/>
        <v/>
      </c>
    </row>
    <row r="2216" spans="5:5" x14ac:dyDescent="0.25">
      <c r="E2216" s="3" t="str">
        <f t="shared" si="34"/>
        <v/>
      </c>
    </row>
    <row r="2217" spans="5:5" x14ac:dyDescent="0.25">
      <c r="E2217" s="3" t="str">
        <f t="shared" si="34"/>
        <v/>
      </c>
    </row>
    <row r="2218" spans="5:5" x14ac:dyDescent="0.25">
      <c r="E2218" s="3" t="str">
        <f t="shared" si="34"/>
        <v/>
      </c>
    </row>
    <row r="2219" spans="5:5" x14ac:dyDescent="0.25">
      <c r="E2219" s="3" t="str">
        <f t="shared" si="34"/>
        <v/>
      </c>
    </row>
    <row r="2220" spans="5:5" x14ac:dyDescent="0.25">
      <c r="E2220" s="3" t="str">
        <f t="shared" si="34"/>
        <v/>
      </c>
    </row>
    <row r="2221" spans="5:5" x14ac:dyDescent="0.25">
      <c r="E2221" s="3" t="str">
        <f t="shared" si="34"/>
        <v/>
      </c>
    </row>
    <row r="2222" spans="5:5" x14ac:dyDescent="0.25">
      <c r="E2222" s="3" t="str">
        <f t="shared" si="34"/>
        <v/>
      </c>
    </row>
    <row r="2223" spans="5:5" x14ac:dyDescent="0.25">
      <c r="E2223" s="3" t="str">
        <f t="shared" si="34"/>
        <v/>
      </c>
    </row>
    <row r="2224" spans="5:5" x14ac:dyDescent="0.25">
      <c r="E2224" s="3" t="str">
        <f t="shared" si="34"/>
        <v/>
      </c>
    </row>
    <row r="2225" spans="5:5" x14ac:dyDescent="0.25">
      <c r="E2225" s="3" t="str">
        <f t="shared" si="34"/>
        <v/>
      </c>
    </row>
    <row r="2226" spans="5:5" x14ac:dyDescent="0.25">
      <c r="E2226" s="3" t="str">
        <f t="shared" si="34"/>
        <v/>
      </c>
    </row>
    <row r="2227" spans="5:5" x14ac:dyDescent="0.25">
      <c r="E2227" s="3" t="str">
        <f t="shared" si="34"/>
        <v/>
      </c>
    </row>
    <row r="2228" spans="5:5" x14ac:dyDescent="0.25">
      <c r="E2228" s="3" t="str">
        <f t="shared" si="34"/>
        <v/>
      </c>
    </row>
    <row r="2229" spans="5:5" x14ac:dyDescent="0.25">
      <c r="E2229" s="3" t="str">
        <f t="shared" si="34"/>
        <v/>
      </c>
    </row>
    <row r="2230" spans="5:5" x14ac:dyDescent="0.25">
      <c r="E2230" s="3" t="str">
        <f t="shared" si="34"/>
        <v/>
      </c>
    </row>
    <row r="2231" spans="5:5" x14ac:dyDescent="0.25">
      <c r="E2231" s="3" t="str">
        <f t="shared" si="34"/>
        <v/>
      </c>
    </row>
    <row r="2232" spans="5:5" x14ac:dyDescent="0.25">
      <c r="E2232" s="3" t="str">
        <f t="shared" si="34"/>
        <v/>
      </c>
    </row>
    <row r="2233" spans="5:5" x14ac:dyDescent="0.25">
      <c r="E2233" s="3" t="str">
        <f t="shared" si="34"/>
        <v/>
      </c>
    </row>
    <row r="2234" spans="5:5" x14ac:dyDescent="0.25">
      <c r="E2234" s="3" t="str">
        <f t="shared" si="34"/>
        <v/>
      </c>
    </row>
    <row r="2235" spans="5:5" x14ac:dyDescent="0.25">
      <c r="E2235" s="3" t="str">
        <f t="shared" si="34"/>
        <v/>
      </c>
    </row>
    <row r="2236" spans="5:5" x14ac:dyDescent="0.25">
      <c r="E2236" s="3" t="str">
        <f t="shared" si="34"/>
        <v/>
      </c>
    </row>
    <row r="2237" spans="5:5" x14ac:dyDescent="0.25">
      <c r="E2237" s="3" t="str">
        <f t="shared" si="34"/>
        <v/>
      </c>
    </row>
    <row r="2238" spans="5:5" x14ac:dyDescent="0.25">
      <c r="E2238" s="3" t="str">
        <f t="shared" si="34"/>
        <v/>
      </c>
    </row>
    <row r="2239" spans="5:5" x14ac:dyDescent="0.25">
      <c r="E2239" s="3" t="str">
        <f t="shared" si="34"/>
        <v/>
      </c>
    </row>
    <row r="2240" spans="5:5" x14ac:dyDescent="0.25">
      <c r="E2240" s="3" t="str">
        <f t="shared" si="34"/>
        <v/>
      </c>
    </row>
    <row r="2241" spans="5:5" x14ac:dyDescent="0.25">
      <c r="E2241" s="3" t="str">
        <f t="shared" si="34"/>
        <v/>
      </c>
    </row>
    <row r="2242" spans="5:5" x14ac:dyDescent="0.25">
      <c r="E2242" s="3" t="str">
        <f t="shared" si="34"/>
        <v/>
      </c>
    </row>
    <row r="2243" spans="5:5" x14ac:dyDescent="0.25">
      <c r="E2243" s="3" t="str">
        <f t="shared" ref="E2243:E2306" si="35">IF(COUNTIF(C$3:C$5000,C2243)&gt;1,"DUPLICADO","")</f>
        <v/>
      </c>
    </row>
    <row r="2244" spans="5:5" x14ac:dyDescent="0.25">
      <c r="E2244" s="3" t="str">
        <f t="shared" si="35"/>
        <v/>
      </c>
    </row>
    <row r="2245" spans="5:5" x14ac:dyDescent="0.25">
      <c r="E2245" s="3" t="str">
        <f t="shared" si="35"/>
        <v/>
      </c>
    </row>
    <row r="2246" spans="5:5" x14ac:dyDescent="0.25">
      <c r="E2246" s="3" t="str">
        <f t="shared" si="35"/>
        <v/>
      </c>
    </row>
    <row r="2247" spans="5:5" x14ac:dyDescent="0.25">
      <c r="E2247" s="3" t="str">
        <f t="shared" si="35"/>
        <v/>
      </c>
    </row>
    <row r="2248" spans="5:5" x14ac:dyDescent="0.25">
      <c r="E2248" s="3" t="str">
        <f t="shared" si="35"/>
        <v/>
      </c>
    </row>
    <row r="2249" spans="5:5" x14ac:dyDescent="0.25">
      <c r="E2249" s="3" t="str">
        <f t="shared" si="35"/>
        <v/>
      </c>
    </row>
    <row r="2250" spans="5:5" x14ac:dyDescent="0.25">
      <c r="E2250" s="3" t="str">
        <f t="shared" si="35"/>
        <v/>
      </c>
    </row>
    <row r="2251" spans="5:5" x14ac:dyDescent="0.25">
      <c r="E2251" s="3" t="str">
        <f t="shared" si="35"/>
        <v/>
      </c>
    </row>
    <row r="2252" spans="5:5" x14ac:dyDescent="0.25">
      <c r="E2252" s="3" t="str">
        <f t="shared" si="35"/>
        <v/>
      </c>
    </row>
    <row r="2253" spans="5:5" x14ac:dyDescent="0.25">
      <c r="E2253" s="3" t="str">
        <f t="shared" si="35"/>
        <v/>
      </c>
    </row>
    <row r="2254" spans="5:5" x14ac:dyDescent="0.25">
      <c r="E2254" s="3" t="str">
        <f t="shared" si="35"/>
        <v/>
      </c>
    </row>
    <row r="2255" spans="5:5" x14ac:dyDescent="0.25">
      <c r="E2255" s="3" t="str">
        <f t="shared" si="35"/>
        <v/>
      </c>
    </row>
    <row r="2256" spans="5:5" x14ac:dyDescent="0.25">
      <c r="E2256" s="3" t="str">
        <f t="shared" si="35"/>
        <v/>
      </c>
    </row>
    <row r="2257" spans="5:5" x14ac:dyDescent="0.25">
      <c r="E2257" s="3" t="str">
        <f t="shared" si="35"/>
        <v/>
      </c>
    </row>
    <row r="2258" spans="5:5" x14ac:dyDescent="0.25">
      <c r="E2258" s="3" t="str">
        <f t="shared" si="35"/>
        <v/>
      </c>
    </row>
    <row r="2259" spans="5:5" x14ac:dyDescent="0.25">
      <c r="E2259" s="3" t="str">
        <f t="shared" si="35"/>
        <v/>
      </c>
    </row>
    <row r="2260" spans="5:5" x14ac:dyDescent="0.25">
      <c r="E2260" s="3" t="str">
        <f t="shared" si="35"/>
        <v/>
      </c>
    </row>
    <row r="2261" spans="5:5" x14ac:dyDescent="0.25">
      <c r="E2261" s="3" t="str">
        <f t="shared" si="35"/>
        <v/>
      </c>
    </row>
    <row r="2262" spans="5:5" x14ac:dyDescent="0.25">
      <c r="E2262" s="3" t="str">
        <f t="shared" si="35"/>
        <v/>
      </c>
    </row>
    <row r="2263" spans="5:5" x14ac:dyDescent="0.25">
      <c r="E2263" s="3" t="str">
        <f t="shared" si="35"/>
        <v/>
      </c>
    </row>
    <row r="2264" spans="5:5" x14ac:dyDescent="0.25">
      <c r="E2264" s="3" t="str">
        <f t="shared" si="35"/>
        <v/>
      </c>
    </row>
    <row r="2265" spans="5:5" x14ac:dyDescent="0.25">
      <c r="E2265" s="3" t="str">
        <f t="shared" si="35"/>
        <v/>
      </c>
    </row>
    <row r="2266" spans="5:5" x14ac:dyDescent="0.25">
      <c r="E2266" s="3" t="str">
        <f t="shared" si="35"/>
        <v/>
      </c>
    </row>
    <row r="2267" spans="5:5" x14ac:dyDescent="0.25">
      <c r="E2267" s="3" t="str">
        <f t="shared" si="35"/>
        <v/>
      </c>
    </row>
    <row r="2268" spans="5:5" x14ac:dyDescent="0.25">
      <c r="E2268" s="3" t="str">
        <f t="shared" si="35"/>
        <v/>
      </c>
    </row>
    <row r="2269" spans="5:5" x14ac:dyDescent="0.25">
      <c r="E2269" s="3" t="str">
        <f t="shared" si="35"/>
        <v/>
      </c>
    </row>
    <row r="2270" spans="5:5" x14ac:dyDescent="0.25">
      <c r="E2270" s="3" t="str">
        <f t="shared" si="35"/>
        <v/>
      </c>
    </row>
    <row r="2271" spans="5:5" x14ac:dyDescent="0.25">
      <c r="E2271" s="3" t="str">
        <f t="shared" si="35"/>
        <v/>
      </c>
    </row>
    <row r="2272" spans="5:5" x14ac:dyDescent="0.25">
      <c r="E2272" s="3" t="str">
        <f t="shared" si="35"/>
        <v/>
      </c>
    </row>
    <row r="2273" spans="5:5" x14ac:dyDescent="0.25">
      <c r="E2273" s="3" t="str">
        <f t="shared" si="35"/>
        <v/>
      </c>
    </row>
    <row r="2274" spans="5:5" x14ac:dyDescent="0.25">
      <c r="E2274" s="3" t="str">
        <f t="shared" si="35"/>
        <v/>
      </c>
    </row>
    <row r="2275" spans="5:5" x14ac:dyDescent="0.25">
      <c r="E2275" s="3" t="str">
        <f t="shared" si="35"/>
        <v/>
      </c>
    </row>
    <row r="2276" spans="5:5" x14ac:dyDescent="0.25">
      <c r="E2276" s="3" t="str">
        <f t="shared" si="35"/>
        <v/>
      </c>
    </row>
    <row r="2277" spans="5:5" x14ac:dyDescent="0.25">
      <c r="E2277" s="3" t="str">
        <f t="shared" si="35"/>
        <v/>
      </c>
    </row>
    <row r="2278" spans="5:5" x14ac:dyDescent="0.25">
      <c r="E2278" s="3" t="str">
        <f t="shared" si="35"/>
        <v/>
      </c>
    </row>
    <row r="2279" spans="5:5" x14ac:dyDescent="0.25">
      <c r="E2279" s="3" t="str">
        <f t="shared" si="35"/>
        <v/>
      </c>
    </row>
    <row r="2280" spans="5:5" x14ac:dyDescent="0.25">
      <c r="E2280" s="3" t="str">
        <f t="shared" si="35"/>
        <v/>
      </c>
    </row>
    <row r="2281" spans="5:5" x14ac:dyDescent="0.25">
      <c r="E2281" s="3" t="str">
        <f t="shared" si="35"/>
        <v/>
      </c>
    </row>
    <row r="2282" spans="5:5" x14ac:dyDescent="0.25">
      <c r="E2282" s="3" t="str">
        <f t="shared" si="35"/>
        <v/>
      </c>
    </row>
    <row r="2283" spans="5:5" x14ac:dyDescent="0.25">
      <c r="E2283" s="3" t="str">
        <f t="shared" si="35"/>
        <v/>
      </c>
    </row>
    <row r="2284" spans="5:5" x14ac:dyDescent="0.25">
      <c r="E2284" s="3" t="str">
        <f t="shared" si="35"/>
        <v/>
      </c>
    </row>
    <row r="2285" spans="5:5" x14ac:dyDescent="0.25">
      <c r="E2285" s="3" t="str">
        <f t="shared" si="35"/>
        <v/>
      </c>
    </row>
    <row r="2286" spans="5:5" x14ac:dyDescent="0.25">
      <c r="E2286" s="3" t="str">
        <f t="shared" si="35"/>
        <v/>
      </c>
    </row>
    <row r="2287" spans="5:5" x14ac:dyDescent="0.25">
      <c r="E2287" s="3" t="str">
        <f t="shared" si="35"/>
        <v/>
      </c>
    </row>
    <row r="2288" spans="5:5" x14ac:dyDescent="0.25">
      <c r="E2288" s="3" t="str">
        <f t="shared" si="35"/>
        <v/>
      </c>
    </row>
    <row r="2289" spans="5:5" x14ac:dyDescent="0.25">
      <c r="E2289" s="3" t="str">
        <f t="shared" si="35"/>
        <v/>
      </c>
    </row>
    <row r="2290" spans="5:5" x14ac:dyDescent="0.25">
      <c r="E2290" s="3" t="str">
        <f t="shared" si="35"/>
        <v/>
      </c>
    </row>
    <row r="2291" spans="5:5" x14ac:dyDescent="0.25">
      <c r="E2291" s="3" t="str">
        <f t="shared" si="35"/>
        <v/>
      </c>
    </row>
    <row r="2292" spans="5:5" x14ac:dyDescent="0.25">
      <c r="E2292" s="3" t="str">
        <f t="shared" si="35"/>
        <v/>
      </c>
    </row>
    <row r="2293" spans="5:5" x14ac:dyDescent="0.25">
      <c r="E2293" s="3" t="str">
        <f t="shared" si="35"/>
        <v/>
      </c>
    </row>
    <row r="2294" spans="5:5" x14ac:dyDescent="0.25">
      <c r="E2294" s="3" t="str">
        <f t="shared" si="35"/>
        <v/>
      </c>
    </row>
    <row r="2295" spans="5:5" x14ac:dyDescent="0.25">
      <c r="E2295" s="3" t="str">
        <f t="shared" si="35"/>
        <v/>
      </c>
    </row>
    <row r="2296" spans="5:5" x14ac:dyDescent="0.25">
      <c r="E2296" s="3" t="str">
        <f t="shared" si="35"/>
        <v/>
      </c>
    </row>
    <row r="2297" spans="5:5" x14ac:dyDescent="0.25">
      <c r="E2297" s="3" t="str">
        <f t="shared" si="35"/>
        <v/>
      </c>
    </row>
    <row r="2298" spans="5:5" x14ac:dyDescent="0.25">
      <c r="E2298" s="3" t="str">
        <f t="shared" si="35"/>
        <v/>
      </c>
    </row>
    <row r="2299" spans="5:5" x14ac:dyDescent="0.25">
      <c r="E2299" s="3" t="str">
        <f t="shared" si="35"/>
        <v/>
      </c>
    </row>
    <row r="2300" spans="5:5" x14ac:dyDescent="0.25">
      <c r="E2300" s="3" t="str">
        <f t="shared" si="35"/>
        <v/>
      </c>
    </row>
    <row r="2301" spans="5:5" x14ac:dyDescent="0.25">
      <c r="E2301" s="3" t="str">
        <f t="shared" si="35"/>
        <v/>
      </c>
    </row>
    <row r="2302" spans="5:5" x14ac:dyDescent="0.25">
      <c r="E2302" s="3" t="str">
        <f t="shared" si="35"/>
        <v/>
      </c>
    </row>
    <row r="2303" spans="5:5" x14ac:dyDescent="0.25">
      <c r="E2303" s="3" t="str">
        <f t="shared" si="35"/>
        <v/>
      </c>
    </row>
    <row r="2304" spans="5:5" x14ac:dyDescent="0.25">
      <c r="E2304" s="3" t="str">
        <f t="shared" si="35"/>
        <v/>
      </c>
    </row>
    <row r="2305" spans="5:5" x14ac:dyDescent="0.25">
      <c r="E2305" s="3" t="str">
        <f t="shared" si="35"/>
        <v/>
      </c>
    </row>
    <row r="2306" spans="5:5" x14ac:dyDescent="0.25">
      <c r="E2306" s="3" t="str">
        <f t="shared" si="35"/>
        <v/>
      </c>
    </row>
    <row r="2307" spans="5:5" x14ac:dyDescent="0.25">
      <c r="E2307" s="3" t="str">
        <f t="shared" ref="E2307:E2370" si="36">IF(COUNTIF(C$3:C$5000,C2307)&gt;1,"DUPLICADO","")</f>
        <v/>
      </c>
    </row>
    <row r="2308" spans="5:5" x14ac:dyDescent="0.25">
      <c r="E2308" s="3" t="str">
        <f t="shared" si="36"/>
        <v/>
      </c>
    </row>
    <row r="2309" spans="5:5" x14ac:dyDescent="0.25">
      <c r="E2309" s="3" t="str">
        <f t="shared" si="36"/>
        <v/>
      </c>
    </row>
    <row r="2310" spans="5:5" x14ac:dyDescent="0.25">
      <c r="E2310" s="3" t="str">
        <f t="shared" si="36"/>
        <v/>
      </c>
    </row>
    <row r="2311" spans="5:5" x14ac:dyDescent="0.25">
      <c r="E2311" s="3" t="str">
        <f t="shared" si="36"/>
        <v/>
      </c>
    </row>
    <row r="2312" spans="5:5" x14ac:dyDescent="0.25">
      <c r="E2312" s="3" t="str">
        <f t="shared" si="36"/>
        <v/>
      </c>
    </row>
    <row r="2313" spans="5:5" x14ac:dyDescent="0.25">
      <c r="E2313" s="3" t="str">
        <f t="shared" si="36"/>
        <v/>
      </c>
    </row>
    <row r="2314" spans="5:5" x14ac:dyDescent="0.25">
      <c r="E2314" s="3" t="str">
        <f t="shared" si="36"/>
        <v/>
      </c>
    </row>
    <row r="2315" spans="5:5" x14ac:dyDescent="0.25">
      <c r="E2315" s="3" t="str">
        <f t="shared" si="36"/>
        <v/>
      </c>
    </row>
    <row r="2316" spans="5:5" x14ac:dyDescent="0.25">
      <c r="E2316" s="3" t="str">
        <f t="shared" si="36"/>
        <v/>
      </c>
    </row>
    <row r="2317" spans="5:5" x14ac:dyDescent="0.25">
      <c r="E2317" s="3" t="str">
        <f t="shared" si="36"/>
        <v/>
      </c>
    </row>
    <row r="2318" spans="5:5" x14ac:dyDescent="0.25">
      <c r="E2318" s="3" t="str">
        <f t="shared" si="36"/>
        <v/>
      </c>
    </row>
    <row r="2319" spans="5:5" x14ac:dyDescent="0.25">
      <c r="E2319" s="3" t="str">
        <f t="shared" si="36"/>
        <v/>
      </c>
    </row>
    <row r="2320" spans="5:5" x14ac:dyDescent="0.25">
      <c r="E2320" s="3" t="str">
        <f t="shared" si="36"/>
        <v/>
      </c>
    </row>
    <row r="2321" spans="5:5" x14ac:dyDescent="0.25">
      <c r="E2321" s="3" t="str">
        <f t="shared" si="36"/>
        <v/>
      </c>
    </row>
    <row r="2322" spans="5:5" x14ac:dyDescent="0.25">
      <c r="E2322" s="3" t="str">
        <f t="shared" si="36"/>
        <v/>
      </c>
    </row>
    <row r="2323" spans="5:5" x14ac:dyDescent="0.25">
      <c r="E2323" s="3" t="str">
        <f t="shared" si="36"/>
        <v/>
      </c>
    </row>
    <row r="2324" spans="5:5" x14ac:dyDescent="0.25">
      <c r="E2324" s="3" t="str">
        <f t="shared" si="36"/>
        <v/>
      </c>
    </row>
    <row r="2325" spans="5:5" x14ac:dyDescent="0.25">
      <c r="E2325" s="3" t="str">
        <f t="shared" si="36"/>
        <v/>
      </c>
    </row>
    <row r="2326" spans="5:5" x14ac:dyDescent="0.25">
      <c r="E2326" s="3" t="str">
        <f t="shared" si="36"/>
        <v/>
      </c>
    </row>
    <row r="2327" spans="5:5" x14ac:dyDescent="0.25">
      <c r="E2327" s="3" t="str">
        <f t="shared" si="36"/>
        <v/>
      </c>
    </row>
    <row r="2328" spans="5:5" x14ac:dyDescent="0.25">
      <c r="E2328" s="3" t="str">
        <f t="shared" si="36"/>
        <v/>
      </c>
    </row>
    <row r="2329" spans="5:5" x14ac:dyDescent="0.25">
      <c r="E2329" s="3" t="str">
        <f t="shared" si="36"/>
        <v/>
      </c>
    </row>
    <row r="2330" spans="5:5" x14ac:dyDescent="0.25">
      <c r="E2330" s="3" t="str">
        <f t="shared" si="36"/>
        <v/>
      </c>
    </row>
    <row r="2331" spans="5:5" x14ac:dyDescent="0.25">
      <c r="E2331" s="3" t="str">
        <f t="shared" si="36"/>
        <v/>
      </c>
    </row>
    <row r="2332" spans="5:5" x14ac:dyDescent="0.25">
      <c r="E2332" s="3" t="str">
        <f t="shared" si="36"/>
        <v/>
      </c>
    </row>
    <row r="2333" spans="5:5" x14ac:dyDescent="0.25">
      <c r="E2333" s="3" t="str">
        <f t="shared" si="36"/>
        <v/>
      </c>
    </row>
    <row r="2334" spans="5:5" x14ac:dyDescent="0.25">
      <c r="E2334" s="3" t="str">
        <f t="shared" si="36"/>
        <v/>
      </c>
    </row>
    <row r="2335" spans="5:5" x14ac:dyDescent="0.25">
      <c r="E2335" s="3" t="str">
        <f t="shared" si="36"/>
        <v/>
      </c>
    </row>
    <row r="2336" spans="5:5" x14ac:dyDescent="0.25">
      <c r="E2336" s="3" t="str">
        <f t="shared" si="36"/>
        <v/>
      </c>
    </row>
    <row r="2337" spans="5:5" x14ac:dyDescent="0.25">
      <c r="E2337" s="3" t="str">
        <f t="shared" si="36"/>
        <v/>
      </c>
    </row>
    <row r="2338" spans="5:5" x14ac:dyDescent="0.25">
      <c r="E2338" s="3" t="str">
        <f t="shared" si="36"/>
        <v/>
      </c>
    </row>
    <row r="2339" spans="5:5" x14ac:dyDescent="0.25">
      <c r="E2339" s="3" t="str">
        <f t="shared" si="36"/>
        <v/>
      </c>
    </row>
    <row r="2340" spans="5:5" x14ac:dyDescent="0.25">
      <c r="E2340" s="3" t="str">
        <f t="shared" si="36"/>
        <v/>
      </c>
    </row>
    <row r="2341" spans="5:5" x14ac:dyDescent="0.25">
      <c r="E2341" s="3" t="str">
        <f t="shared" si="36"/>
        <v/>
      </c>
    </row>
    <row r="2342" spans="5:5" x14ac:dyDescent="0.25">
      <c r="E2342" s="3" t="str">
        <f t="shared" si="36"/>
        <v/>
      </c>
    </row>
    <row r="2343" spans="5:5" x14ac:dyDescent="0.25">
      <c r="E2343" s="3" t="str">
        <f t="shared" si="36"/>
        <v/>
      </c>
    </row>
    <row r="2344" spans="5:5" x14ac:dyDescent="0.25">
      <c r="E2344" s="3" t="str">
        <f t="shared" si="36"/>
        <v/>
      </c>
    </row>
    <row r="2345" spans="5:5" x14ac:dyDescent="0.25">
      <c r="E2345" s="3" t="str">
        <f t="shared" si="36"/>
        <v/>
      </c>
    </row>
    <row r="2346" spans="5:5" x14ac:dyDescent="0.25">
      <c r="E2346" s="3" t="str">
        <f t="shared" si="36"/>
        <v/>
      </c>
    </row>
    <row r="2347" spans="5:5" x14ac:dyDescent="0.25">
      <c r="E2347" s="3" t="str">
        <f t="shared" si="36"/>
        <v/>
      </c>
    </row>
    <row r="2348" spans="5:5" x14ac:dyDescent="0.25">
      <c r="E2348" s="3" t="str">
        <f t="shared" si="36"/>
        <v/>
      </c>
    </row>
    <row r="2349" spans="5:5" x14ac:dyDescent="0.25">
      <c r="E2349" s="3" t="str">
        <f t="shared" si="36"/>
        <v/>
      </c>
    </row>
    <row r="2350" spans="5:5" x14ac:dyDescent="0.25">
      <c r="E2350" s="3" t="str">
        <f t="shared" si="36"/>
        <v/>
      </c>
    </row>
    <row r="2351" spans="5:5" x14ac:dyDescent="0.25">
      <c r="E2351" s="3" t="str">
        <f t="shared" si="36"/>
        <v/>
      </c>
    </row>
    <row r="2352" spans="5:5" x14ac:dyDescent="0.25">
      <c r="E2352" s="3" t="str">
        <f t="shared" si="36"/>
        <v/>
      </c>
    </row>
    <row r="2353" spans="5:5" x14ac:dyDescent="0.25">
      <c r="E2353" s="3" t="str">
        <f t="shared" si="36"/>
        <v/>
      </c>
    </row>
    <row r="2354" spans="5:5" x14ac:dyDescent="0.25">
      <c r="E2354" s="3" t="str">
        <f t="shared" si="36"/>
        <v/>
      </c>
    </row>
    <row r="2355" spans="5:5" x14ac:dyDescent="0.25">
      <c r="E2355" s="3" t="str">
        <f t="shared" si="36"/>
        <v/>
      </c>
    </row>
    <row r="2356" spans="5:5" x14ac:dyDescent="0.25">
      <c r="E2356" s="3" t="str">
        <f t="shared" si="36"/>
        <v/>
      </c>
    </row>
    <row r="2357" spans="5:5" x14ac:dyDescent="0.25">
      <c r="E2357" s="3" t="str">
        <f t="shared" si="36"/>
        <v/>
      </c>
    </row>
    <row r="2358" spans="5:5" x14ac:dyDescent="0.25">
      <c r="E2358" s="3" t="str">
        <f t="shared" si="36"/>
        <v/>
      </c>
    </row>
    <row r="2359" spans="5:5" x14ac:dyDescent="0.25">
      <c r="E2359" s="3" t="str">
        <f t="shared" si="36"/>
        <v/>
      </c>
    </row>
    <row r="2360" spans="5:5" x14ac:dyDescent="0.25">
      <c r="E2360" s="3" t="str">
        <f t="shared" si="36"/>
        <v/>
      </c>
    </row>
    <row r="2361" spans="5:5" x14ac:dyDescent="0.25">
      <c r="E2361" s="3" t="str">
        <f t="shared" si="36"/>
        <v/>
      </c>
    </row>
    <row r="2362" spans="5:5" x14ac:dyDescent="0.25">
      <c r="E2362" s="3" t="str">
        <f t="shared" si="36"/>
        <v/>
      </c>
    </row>
    <row r="2363" spans="5:5" x14ac:dyDescent="0.25">
      <c r="E2363" s="3" t="str">
        <f t="shared" si="36"/>
        <v/>
      </c>
    </row>
    <row r="2364" spans="5:5" x14ac:dyDescent="0.25">
      <c r="E2364" s="3" t="str">
        <f t="shared" si="36"/>
        <v/>
      </c>
    </row>
    <row r="2365" spans="5:5" x14ac:dyDescent="0.25">
      <c r="E2365" s="3" t="str">
        <f t="shared" si="36"/>
        <v/>
      </c>
    </row>
    <row r="2366" spans="5:5" x14ac:dyDescent="0.25">
      <c r="E2366" s="3" t="str">
        <f t="shared" si="36"/>
        <v/>
      </c>
    </row>
    <row r="2367" spans="5:5" x14ac:dyDescent="0.25">
      <c r="E2367" s="3" t="str">
        <f t="shared" si="36"/>
        <v/>
      </c>
    </row>
    <row r="2368" spans="5:5" x14ac:dyDescent="0.25">
      <c r="E2368" s="3" t="str">
        <f t="shared" si="36"/>
        <v/>
      </c>
    </row>
    <row r="2369" spans="5:5" x14ac:dyDescent="0.25">
      <c r="E2369" s="3" t="str">
        <f t="shared" si="36"/>
        <v/>
      </c>
    </row>
    <row r="2370" spans="5:5" x14ac:dyDescent="0.25">
      <c r="E2370" s="3" t="str">
        <f t="shared" si="36"/>
        <v/>
      </c>
    </row>
    <row r="2371" spans="5:5" x14ac:dyDescent="0.25">
      <c r="E2371" s="3" t="str">
        <f t="shared" ref="E2371:E2434" si="37">IF(COUNTIF(C$3:C$5000,C2371)&gt;1,"DUPLICADO","")</f>
        <v/>
      </c>
    </row>
    <row r="2372" spans="5:5" x14ac:dyDescent="0.25">
      <c r="E2372" s="3" t="str">
        <f t="shared" si="37"/>
        <v/>
      </c>
    </row>
    <row r="2373" spans="5:5" x14ac:dyDescent="0.25">
      <c r="E2373" s="3" t="str">
        <f t="shared" si="37"/>
        <v/>
      </c>
    </row>
    <row r="2374" spans="5:5" x14ac:dyDescent="0.25">
      <c r="E2374" s="3" t="str">
        <f t="shared" si="37"/>
        <v/>
      </c>
    </row>
    <row r="2375" spans="5:5" x14ac:dyDescent="0.25">
      <c r="E2375" s="3" t="str">
        <f t="shared" si="37"/>
        <v/>
      </c>
    </row>
    <row r="2376" spans="5:5" x14ac:dyDescent="0.25">
      <c r="E2376" s="3" t="str">
        <f t="shared" si="37"/>
        <v/>
      </c>
    </row>
    <row r="2377" spans="5:5" x14ac:dyDescent="0.25">
      <c r="E2377" s="3" t="str">
        <f t="shared" si="37"/>
        <v/>
      </c>
    </row>
    <row r="2378" spans="5:5" x14ac:dyDescent="0.25">
      <c r="E2378" s="3" t="str">
        <f t="shared" si="37"/>
        <v/>
      </c>
    </row>
    <row r="2379" spans="5:5" x14ac:dyDescent="0.25">
      <c r="E2379" s="3" t="str">
        <f t="shared" si="37"/>
        <v/>
      </c>
    </row>
    <row r="2380" spans="5:5" x14ac:dyDescent="0.25">
      <c r="E2380" s="3" t="str">
        <f t="shared" si="37"/>
        <v/>
      </c>
    </row>
    <row r="2381" spans="5:5" x14ac:dyDescent="0.25">
      <c r="E2381" s="3" t="str">
        <f t="shared" si="37"/>
        <v/>
      </c>
    </row>
    <row r="2382" spans="5:5" x14ac:dyDescent="0.25">
      <c r="E2382" s="3" t="str">
        <f t="shared" si="37"/>
        <v/>
      </c>
    </row>
    <row r="2383" spans="5:5" x14ac:dyDescent="0.25">
      <c r="E2383" s="3" t="str">
        <f t="shared" si="37"/>
        <v/>
      </c>
    </row>
    <row r="2384" spans="5:5" x14ac:dyDescent="0.25">
      <c r="E2384" s="3" t="str">
        <f t="shared" si="37"/>
        <v/>
      </c>
    </row>
    <row r="2385" spans="5:5" x14ac:dyDescent="0.25">
      <c r="E2385" s="3" t="str">
        <f t="shared" si="37"/>
        <v/>
      </c>
    </row>
    <row r="2386" spans="5:5" x14ac:dyDescent="0.25">
      <c r="E2386" s="3" t="str">
        <f t="shared" si="37"/>
        <v/>
      </c>
    </row>
    <row r="2387" spans="5:5" x14ac:dyDescent="0.25">
      <c r="E2387" s="3" t="str">
        <f t="shared" si="37"/>
        <v/>
      </c>
    </row>
    <row r="2388" spans="5:5" x14ac:dyDescent="0.25">
      <c r="E2388" s="3" t="str">
        <f t="shared" si="37"/>
        <v/>
      </c>
    </row>
    <row r="2389" spans="5:5" x14ac:dyDescent="0.25">
      <c r="E2389" s="3" t="str">
        <f t="shared" si="37"/>
        <v/>
      </c>
    </row>
    <row r="2390" spans="5:5" x14ac:dyDescent="0.25">
      <c r="E2390" s="3" t="str">
        <f t="shared" si="37"/>
        <v/>
      </c>
    </row>
    <row r="2391" spans="5:5" x14ac:dyDescent="0.25">
      <c r="E2391" s="3" t="str">
        <f t="shared" si="37"/>
        <v/>
      </c>
    </row>
    <row r="2392" spans="5:5" x14ac:dyDescent="0.25">
      <c r="E2392" s="3" t="str">
        <f t="shared" si="37"/>
        <v/>
      </c>
    </row>
    <row r="2393" spans="5:5" x14ac:dyDescent="0.25">
      <c r="E2393" s="3" t="str">
        <f t="shared" si="37"/>
        <v/>
      </c>
    </row>
    <row r="2394" spans="5:5" x14ac:dyDescent="0.25">
      <c r="E2394" s="3" t="str">
        <f t="shared" si="37"/>
        <v/>
      </c>
    </row>
    <row r="2395" spans="5:5" x14ac:dyDescent="0.25">
      <c r="E2395" s="3" t="str">
        <f t="shared" si="37"/>
        <v/>
      </c>
    </row>
    <row r="2396" spans="5:5" x14ac:dyDescent="0.25">
      <c r="E2396" s="3" t="str">
        <f t="shared" si="37"/>
        <v/>
      </c>
    </row>
    <row r="2397" spans="5:5" x14ac:dyDescent="0.25">
      <c r="E2397" s="3" t="str">
        <f t="shared" si="37"/>
        <v/>
      </c>
    </row>
    <row r="2398" spans="5:5" x14ac:dyDescent="0.25">
      <c r="E2398" s="3" t="str">
        <f t="shared" si="37"/>
        <v/>
      </c>
    </row>
    <row r="2399" spans="5:5" x14ac:dyDescent="0.25">
      <c r="E2399" s="3" t="str">
        <f t="shared" si="37"/>
        <v/>
      </c>
    </row>
    <row r="2400" spans="5:5" x14ac:dyDescent="0.25">
      <c r="E2400" s="3" t="str">
        <f t="shared" si="37"/>
        <v/>
      </c>
    </row>
    <row r="2401" spans="5:5" x14ac:dyDescent="0.25">
      <c r="E2401" s="3" t="str">
        <f t="shared" si="37"/>
        <v/>
      </c>
    </row>
    <row r="2402" spans="5:5" x14ac:dyDescent="0.25">
      <c r="E2402" s="3" t="str">
        <f t="shared" si="37"/>
        <v/>
      </c>
    </row>
    <row r="2403" spans="5:5" x14ac:dyDescent="0.25">
      <c r="E2403" s="3" t="str">
        <f t="shared" si="37"/>
        <v/>
      </c>
    </row>
    <row r="2404" spans="5:5" x14ac:dyDescent="0.25">
      <c r="E2404" s="3" t="str">
        <f t="shared" si="37"/>
        <v/>
      </c>
    </row>
    <row r="2405" spans="5:5" x14ac:dyDescent="0.25">
      <c r="E2405" s="3" t="str">
        <f t="shared" si="37"/>
        <v/>
      </c>
    </row>
    <row r="2406" spans="5:5" x14ac:dyDescent="0.25">
      <c r="E2406" s="3" t="str">
        <f t="shared" si="37"/>
        <v/>
      </c>
    </row>
    <row r="2407" spans="5:5" x14ac:dyDescent="0.25">
      <c r="E2407" s="3" t="str">
        <f t="shared" si="37"/>
        <v/>
      </c>
    </row>
    <row r="2408" spans="5:5" x14ac:dyDescent="0.25">
      <c r="E2408" s="3" t="str">
        <f t="shared" si="37"/>
        <v/>
      </c>
    </row>
    <row r="2409" spans="5:5" x14ac:dyDescent="0.25">
      <c r="E2409" s="3" t="str">
        <f t="shared" si="37"/>
        <v/>
      </c>
    </row>
    <row r="2410" spans="5:5" x14ac:dyDescent="0.25">
      <c r="E2410" s="3" t="str">
        <f t="shared" si="37"/>
        <v/>
      </c>
    </row>
    <row r="2411" spans="5:5" x14ac:dyDescent="0.25">
      <c r="E2411" s="3" t="str">
        <f t="shared" si="37"/>
        <v/>
      </c>
    </row>
    <row r="2412" spans="5:5" x14ac:dyDescent="0.25">
      <c r="E2412" s="3" t="str">
        <f t="shared" si="37"/>
        <v/>
      </c>
    </row>
    <row r="2413" spans="5:5" x14ac:dyDescent="0.25">
      <c r="E2413" s="3" t="str">
        <f t="shared" si="37"/>
        <v/>
      </c>
    </row>
    <row r="2414" spans="5:5" x14ac:dyDescent="0.25">
      <c r="E2414" s="3" t="str">
        <f t="shared" si="37"/>
        <v/>
      </c>
    </row>
    <row r="2415" spans="5:5" x14ac:dyDescent="0.25">
      <c r="E2415" s="3" t="str">
        <f t="shared" si="37"/>
        <v/>
      </c>
    </row>
    <row r="2416" spans="5:5" x14ac:dyDescent="0.25">
      <c r="E2416" s="3" t="str">
        <f t="shared" si="37"/>
        <v/>
      </c>
    </row>
    <row r="2417" spans="5:5" x14ac:dyDescent="0.25">
      <c r="E2417" s="3" t="str">
        <f t="shared" si="37"/>
        <v/>
      </c>
    </row>
    <row r="2418" spans="5:5" x14ac:dyDescent="0.25">
      <c r="E2418" s="3" t="str">
        <f t="shared" si="37"/>
        <v/>
      </c>
    </row>
    <row r="2419" spans="5:5" x14ac:dyDescent="0.25">
      <c r="E2419" s="3" t="str">
        <f t="shared" si="37"/>
        <v/>
      </c>
    </row>
    <row r="2420" spans="5:5" x14ac:dyDescent="0.25">
      <c r="E2420" s="3" t="str">
        <f t="shared" si="37"/>
        <v/>
      </c>
    </row>
    <row r="2421" spans="5:5" x14ac:dyDescent="0.25">
      <c r="E2421" s="3" t="str">
        <f t="shared" si="37"/>
        <v/>
      </c>
    </row>
    <row r="2422" spans="5:5" x14ac:dyDescent="0.25">
      <c r="E2422" s="3" t="str">
        <f t="shared" si="37"/>
        <v/>
      </c>
    </row>
    <row r="2423" spans="5:5" x14ac:dyDescent="0.25">
      <c r="E2423" s="3" t="str">
        <f t="shared" si="37"/>
        <v/>
      </c>
    </row>
    <row r="2424" spans="5:5" x14ac:dyDescent="0.25">
      <c r="E2424" s="3" t="str">
        <f t="shared" si="37"/>
        <v/>
      </c>
    </row>
    <row r="2425" spans="5:5" x14ac:dyDescent="0.25">
      <c r="E2425" s="3" t="str">
        <f t="shared" si="37"/>
        <v/>
      </c>
    </row>
    <row r="2426" spans="5:5" x14ac:dyDescent="0.25">
      <c r="E2426" s="3" t="str">
        <f t="shared" si="37"/>
        <v/>
      </c>
    </row>
    <row r="2427" spans="5:5" x14ac:dyDescent="0.25">
      <c r="E2427" s="3" t="str">
        <f t="shared" si="37"/>
        <v/>
      </c>
    </row>
    <row r="2428" spans="5:5" x14ac:dyDescent="0.25">
      <c r="E2428" s="3" t="str">
        <f t="shared" si="37"/>
        <v/>
      </c>
    </row>
    <row r="2429" spans="5:5" x14ac:dyDescent="0.25">
      <c r="E2429" s="3" t="str">
        <f t="shared" si="37"/>
        <v/>
      </c>
    </row>
    <row r="2430" spans="5:5" x14ac:dyDescent="0.25">
      <c r="E2430" s="3" t="str">
        <f t="shared" si="37"/>
        <v/>
      </c>
    </row>
    <row r="2431" spans="5:5" x14ac:dyDescent="0.25">
      <c r="E2431" s="3" t="str">
        <f t="shared" si="37"/>
        <v/>
      </c>
    </row>
    <row r="2432" spans="5:5" x14ac:dyDescent="0.25">
      <c r="E2432" s="3" t="str">
        <f t="shared" si="37"/>
        <v/>
      </c>
    </row>
    <row r="2433" spans="5:5" x14ac:dyDescent="0.25">
      <c r="E2433" s="3" t="str">
        <f t="shared" si="37"/>
        <v/>
      </c>
    </row>
    <row r="2434" spans="5:5" x14ac:dyDescent="0.25">
      <c r="E2434" s="3" t="str">
        <f t="shared" si="37"/>
        <v/>
      </c>
    </row>
    <row r="2435" spans="5:5" x14ac:dyDescent="0.25">
      <c r="E2435" s="3" t="str">
        <f t="shared" ref="E2435:E2498" si="38">IF(COUNTIF(C$3:C$5000,C2435)&gt;1,"DUPLICADO","")</f>
        <v/>
      </c>
    </row>
    <row r="2436" spans="5:5" x14ac:dyDescent="0.25">
      <c r="E2436" s="3" t="str">
        <f t="shared" si="38"/>
        <v/>
      </c>
    </row>
    <row r="2437" spans="5:5" x14ac:dyDescent="0.25">
      <c r="E2437" s="3" t="str">
        <f t="shared" si="38"/>
        <v/>
      </c>
    </row>
    <row r="2438" spans="5:5" x14ac:dyDescent="0.25">
      <c r="E2438" s="3" t="str">
        <f t="shared" si="38"/>
        <v/>
      </c>
    </row>
    <row r="2439" spans="5:5" x14ac:dyDescent="0.25">
      <c r="E2439" s="3" t="str">
        <f t="shared" si="38"/>
        <v/>
      </c>
    </row>
    <row r="2440" spans="5:5" x14ac:dyDescent="0.25">
      <c r="E2440" s="3" t="str">
        <f t="shared" si="38"/>
        <v/>
      </c>
    </row>
    <row r="2441" spans="5:5" x14ac:dyDescent="0.25">
      <c r="E2441" s="3" t="str">
        <f t="shared" si="38"/>
        <v/>
      </c>
    </row>
    <row r="2442" spans="5:5" x14ac:dyDescent="0.25">
      <c r="E2442" s="3" t="str">
        <f t="shared" si="38"/>
        <v/>
      </c>
    </row>
    <row r="2443" spans="5:5" x14ac:dyDescent="0.25">
      <c r="E2443" s="3" t="str">
        <f t="shared" si="38"/>
        <v/>
      </c>
    </row>
    <row r="2444" spans="5:5" x14ac:dyDescent="0.25">
      <c r="E2444" s="3" t="str">
        <f t="shared" si="38"/>
        <v/>
      </c>
    </row>
    <row r="2445" spans="5:5" x14ac:dyDescent="0.25">
      <c r="E2445" s="3" t="str">
        <f t="shared" si="38"/>
        <v/>
      </c>
    </row>
    <row r="2446" spans="5:5" x14ac:dyDescent="0.25">
      <c r="E2446" s="3" t="str">
        <f t="shared" si="38"/>
        <v/>
      </c>
    </row>
    <row r="2447" spans="5:5" x14ac:dyDescent="0.25">
      <c r="E2447" s="3" t="str">
        <f t="shared" si="38"/>
        <v/>
      </c>
    </row>
    <row r="2448" spans="5:5" x14ac:dyDescent="0.25">
      <c r="E2448" s="3" t="str">
        <f t="shared" si="38"/>
        <v/>
      </c>
    </row>
    <row r="2449" spans="5:5" x14ac:dyDescent="0.25">
      <c r="E2449" s="3" t="str">
        <f t="shared" si="38"/>
        <v/>
      </c>
    </row>
    <row r="2450" spans="5:5" x14ac:dyDescent="0.25">
      <c r="E2450" s="3" t="str">
        <f t="shared" si="38"/>
        <v/>
      </c>
    </row>
    <row r="2451" spans="5:5" x14ac:dyDescent="0.25">
      <c r="E2451" s="3" t="str">
        <f t="shared" si="38"/>
        <v/>
      </c>
    </row>
    <row r="2452" spans="5:5" x14ac:dyDescent="0.25">
      <c r="E2452" s="3" t="str">
        <f t="shared" si="38"/>
        <v/>
      </c>
    </row>
    <row r="2453" spans="5:5" x14ac:dyDescent="0.25">
      <c r="E2453" s="3" t="str">
        <f t="shared" si="38"/>
        <v/>
      </c>
    </row>
    <row r="2454" spans="5:5" x14ac:dyDescent="0.25">
      <c r="E2454" s="3" t="str">
        <f t="shared" si="38"/>
        <v/>
      </c>
    </row>
    <row r="2455" spans="5:5" x14ac:dyDescent="0.25">
      <c r="E2455" s="3" t="str">
        <f t="shared" si="38"/>
        <v/>
      </c>
    </row>
    <row r="2456" spans="5:5" x14ac:dyDescent="0.25">
      <c r="E2456" s="3" t="str">
        <f t="shared" si="38"/>
        <v/>
      </c>
    </row>
    <row r="2457" spans="5:5" x14ac:dyDescent="0.25">
      <c r="E2457" s="3" t="str">
        <f t="shared" si="38"/>
        <v/>
      </c>
    </row>
    <row r="2458" spans="5:5" x14ac:dyDescent="0.25">
      <c r="E2458" s="3" t="str">
        <f t="shared" si="38"/>
        <v/>
      </c>
    </row>
    <row r="2459" spans="5:5" x14ac:dyDescent="0.25">
      <c r="E2459" s="3" t="str">
        <f t="shared" si="38"/>
        <v/>
      </c>
    </row>
    <row r="2460" spans="5:5" x14ac:dyDescent="0.25">
      <c r="E2460" s="3" t="str">
        <f t="shared" si="38"/>
        <v/>
      </c>
    </row>
    <row r="2461" spans="5:5" x14ac:dyDescent="0.25">
      <c r="E2461" s="3" t="str">
        <f t="shared" si="38"/>
        <v/>
      </c>
    </row>
    <row r="2462" spans="5:5" x14ac:dyDescent="0.25">
      <c r="E2462" s="3" t="str">
        <f t="shared" si="38"/>
        <v/>
      </c>
    </row>
    <row r="2463" spans="5:5" x14ac:dyDescent="0.25">
      <c r="E2463" s="3" t="str">
        <f t="shared" si="38"/>
        <v/>
      </c>
    </row>
    <row r="2464" spans="5:5" x14ac:dyDescent="0.25">
      <c r="E2464" s="3" t="str">
        <f t="shared" si="38"/>
        <v/>
      </c>
    </row>
    <row r="2465" spans="5:5" x14ac:dyDescent="0.25">
      <c r="E2465" s="3" t="str">
        <f t="shared" si="38"/>
        <v/>
      </c>
    </row>
    <row r="2466" spans="5:5" x14ac:dyDescent="0.25">
      <c r="E2466" s="3" t="str">
        <f t="shared" si="38"/>
        <v/>
      </c>
    </row>
    <row r="2467" spans="5:5" x14ac:dyDescent="0.25">
      <c r="E2467" s="3" t="str">
        <f t="shared" si="38"/>
        <v/>
      </c>
    </row>
    <row r="2468" spans="5:5" x14ac:dyDescent="0.25">
      <c r="E2468" s="3" t="str">
        <f t="shared" si="38"/>
        <v/>
      </c>
    </row>
    <row r="2469" spans="5:5" x14ac:dyDescent="0.25">
      <c r="E2469" s="3" t="str">
        <f t="shared" si="38"/>
        <v/>
      </c>
    </row>
    <row r="2470" spans="5:5" x14ac:dyDescent="0.25">
      <c r="E2470" s="3" t="str">
        <f t="shared" si="38"/>
        <v/>
      </c>
    </row>
    <row r="2471" spans="5:5" x14ac:dyDescent="0.25">
      <c r="E2471" s="3" t="str">
        <f t="shared" si="38"/>
        <v/>
      </c>
    </row>
    <row r="2472" spans="5:5" x14ac:dyDescent="0.25">
      <c r="E2472" s="3" t="str">
        <f t="shared" si="38"/>
        <v/>
      </c>
    </row>
    <row r="2473" spans="5:5" x14ac:dyDescent="0.25">
      <c r="E2473" s="3" t="str">
        <f t="shared" si="38"/>
        <v/>
      </c>
    </row>
    <row r="2474" spans="5:5" x14ac:dyDescent="0.25">
      <c r="E2474" s="3" t="str">
        <f t="shared" si="38"/>
        <v/>
      </c>
    </row>
    <row r="2475" spans="5:5" x14ac:dyDescent="0.25">
      <c r="E2475" s="3" t="str">
        <f t="shared" si="38"/>
        <v/>
      </c>
    </row>
    <row r="2476" spans="5:5" x14ac:dyDescent="0.25">
      <c r="E2476" s="3" t="str">
        <f t="shared" si="38"/>
        <v/>
      </c>
    </row>
    <row r="2477" spans="5:5" x14ac:dyDescent="0.25">
      <c r="E2477" s="3" t="str">
        <f t="shared" si="38"/>
        <v/>
      </c>
    </row>
    <row r="2478" spans="5:5" x14ac:dyDescent="0.25">
      <c r="E2478" s="3" t="str">
        <f t="shared" si="38"/>
        <v/>
      </c>
    </row>
    <row r="2479" spans="5:5" x14ac:dyDescent="0.25">
      <c r="E2479" s="3" t="str">
        <f t="shared" si="38"/>
        <v/>
      </c>
    </row>
    <row r="2480" spans="5:5" x14ac:dyDescent="0.25">
      <c r="E2480" s="3" t="str">
        <f t="shared" si="38"/>
        <v/>
      </c>
    </row>
    <row r="2481" spans="5:5" x14ac:dyDescent="0.25">
      <c r="E2481" s="3" t="str">
        <f t="shared" si="38"/>
        <v/>
      </c>
    </row>
    <row r="2482" spans="5:5" x14ac:dyDescent="0.25">
      <c r="E2482" s="3" t="str">
        <f t="shared" si="38"/>
        <v/>
      </c>
    </row>
    <row r="2483" spans="5:5" x14ac:dyDescent="0.25">
      <c r="E2483" s="3" t="str">
        <f t="shared" si="38"/>
        <v/>
      </c>
    </row>
    <row r="2484" spans="5:5" x14ac:dyDescent="0.25">
      <c r="E2484" s="3" t="str">
        <f t="shared" si="38"/>
        <v/>
      </c>
    </row>
    <row r="2485" spans="5:5" x14ac:dyDescent="0.25">
      <c r="E2485" s="3" t="str">
        <f t="shared" si="38"/>
        <v/>
      </c>
    </row>
    <row r="2486" spans="5:5" x14ac:dyDescent="0.25">
      <c r="E2486" s="3" t="str">
        <f t="shared" si="38"/>
        <v/>
      </c>
    </row>
    <row r="2487" spans="5:5" x14ac:dyDescent="0.25">
      <c r="E2487" s="3" t="str">
        <f t="shared" si="38"/>
        <v/>
      </c>
    </row>
    <row r="2488" spans="5:5" x14ac:dyDescent="0.25">
      <c r="E2488" s="3" t="str">
        <f t="shared" si="38"/>
        <v/>
      </c>
    </row>
    <row r="2489" spans="5:5" x14ac:dyDescent="0.25">
      <c r="E2489" s="3" t="str">
        <f t="shared" si="38"/>
        <v/>
      </c>
    </row>
    <row r="2490" spans="5:5" x14ac:dyDescent="0.25">
      <c r="E2490" s="3" t="str">
        <f t="shared" si="38"/>
        <v/>
      </c>
    </row>
    <row r="2491" spans="5:5" x14ac:dyDescent="0.25">
      <c r="E2491" s="3" t="str">
        <f t="shared" si="38"/>
        <v/>
      </c>
    </row>
    <row r="2492" spans="5:5" x14ac:dyDescent="0.25">
      <c r="E2492" s="3" t="str">
        <f t="shared" si="38"/>
        <v/>
      </c>
    </row>
    <row r="2493" spans="5:5" x14ac:dyDescent="0.25">
      <c r="E2493" s="3" t="str">
        <f t="shared" si="38"/>
        <v/>
      </c>
    </row>
    <row r="2494" spans="5:5" x14ac:dyDescent="0.25">
      <c r="E2494" s="3" t="str">
        <f t="shared" si="38"/>
        <v/>
      </c>
    </row>
    <row r="2495" spans="5:5" x14ac:dyDescent="0.25">
      <c r="E2495" s="3" t="str">
        <f t="shared" si="38"/>
        <v/>
      </c>
    </row>
    <row r="2496" spans="5:5" x14ac:dyDescent="0.25">
      <c r="E2496" s="3" t="str">
        <f t="shared" si="38"/>
        <v/>
      </c>
    </row>
    <row r="2497" spans="5:5" x14ac:dyDescent="0.25">
      <c r="E2497" s="3" t="str">
        <f t="shared" si="38"/>
        <v/>
      </c>
    </row>
    <row r="2498" spans="5:5" x14ac:dyDescent="0.25">
      <c r="E2498" s="3" t="str">
        <f t="shared" si="38"/>
        <v/>
      </c>
    </row>
    <row r="2499" spans="5:5" x14ac:dyDescent="0.25">
      <c r="E2499" s="3" t="str">
        <f t="shared" ref="E2499:E2562" si="39">IF(COUNTIF(C$3:C$5000,C2499)&gt;1,"DUPLICADO","")</f>
        <v/>
      </c>
    </row>
    <row r="2500" spans="5:5" x14ac:dyDescent="0.25">
      <c r="E2500" s="3" t="str">
        <f t="shared" si="39"/>
        <v/>
      </c>
    </row>
    <row r="2501" spans="5:5" x14ac:dyDescent="0.25">
      <c r="E2501" s="3" t="str">
        <f t="shared" si="39"/>
        <v/>
      </c>
    </row>
    <row r="2502" spans="5:5" x14ac:dyDescent="0.25">
      <c r="E2502" s="3" t="str">
        <f t="shared" si="39"/>
        <v/>
      </c>
    </row>
    <row r="2503" spans="5:5" x14ac:dyDescent="0.25">
      <c r="E2503" s="3" t="str">
        <f t="shared" si="39"/>
        <v/>
      </c>
    </row>
    <row r="2504" spans="5:5" x14ac:dyDescent="0.25">
      <c r="E2504" s="3" t="str">
        <f t="shared" si="39"/>
        <v/>
      </c>
    </row>
    <row r="2505" spans="5:5" x14ac:dyDescent="0.25">
      <c r="E2505" s="3" t="str">
        <f t="shared" si="39"/>
        <v/>
      </c>
    </row>
    <row r="2506" spans="5:5" x14ac:dyDescent="0.25">
      <c r="E2506" s="3" t="str">
        <f t="shared" si="39"/>
        <v/>
      </c>
    </row>
    <row r="2507" spans="5:5" x14ac:dyDescent="0.25">
      <c r="E2507" s="3" t="str">
        <f t="shared" si="39"/>
        <v/>
      </c>
    </row>
    <row r="2508" spans="5:5" x14ac:dyDescent="0.25">
      <c r="E2508" s="3" t="str">
        <f t="shared" si="39"/>
        <v/>
      </c>
    </row>
    <row r="2509" spans="5:5" x14ac:dyDescent="0.25">
      <c r="E2509" s="3" t="str">
        <f t="shared" si="39"/>
        <v/>
      </c>
    </row>
    <row r="2510" spans="5:5" x14ac:dyDescent="0.25">
      <c r="E2510" s="3" t="str">
        <f t="shared" si="39"/>
        <v/>
      </c>
    </row>
    <row r="2511" spans="5:5" x14ac:dyDescent="0.25">
      <c r="E2511" s="3" t="str">
        <f t="shared" si="39"/>
        <v/>
      </c>
    </row>
    <row r="2512" spans="5:5" x14ac:dyDescent="0.25">
      <c r="E2512" s="3" t="str">
        <f t="shared" si="39"/>
        <v/>
      </c>
    </row>
    <row r="2513" spans="5:5" x14ac:dyDescent="0.25">
      <c r="E2513" s="3" t="str">
        <f t="shared" si="39"/>
        <v/>
      </c>
    </row>
    <row r="2514" spans="5:5" x14ac:dyDescent="0.25">
      <c r="E2514" s="3" t="str">
        <f t="shared" si="39"/>
        <v/>
      </c>
    </row>
    <row r="2515" spans="5:5" x14ac:dyDescent="0.25">
      <c r="E2515" s="3" t="str">
        <f t="shared" si="39"/>
        <v/>
      </c>
    </row>
    <row r="2516" spans="5:5" x14ac:dyDescent="0.25">
      <c r="E2516" s="3" t="str">
        <f t="shared" si="39"/>
        <v/>
      </c>
    </row>
    <row r="2517" spans="5:5" x14ac:dyDescent="0.25">
      <c r="E2517" s="3" t="str">
        <f t="shared" si="39"/>
        <v/>
      </c>
    </row>
    <row r="2518" spans="5:5" x14ac:dyDescent="0.25">
      <c r="E2518" s="3" t="str">
        <f t="shared" si="39"/>
        <v/>
      </c>
    </row>
    <row r="2519" spans="5:5" x14ac:dyDescent="0.25">
      <c r="E2519" s="3" t="str">
        <f t="shared" si="39"/>
        <v/>
      </c>
    </row>
    <row r="2520" spans="5:5" x14ac:dyDescent="0.25">
      <c r="E2520" s="3" t="str">
        <f t="shared" si="39"/>
        <v/>
      </c>
    </row>
    <row r="2521" spans="5:5" x14ac:dyDescent="0.25">
      <c r="E2521" s="3" t="str">
        <f t="shared" si="39"/>
        <v/>
      </c>
    </row>
    <row r="2522" spans="5:5" x14ac:dyDescent="0.25">
      <c r="E2522" s="3" t="str">
        <f t="shared" si="39"/>
        <v/>
      </c>
    </row>
    <row r="2523" spans="5:5" x14ac:dyDescent="0.25">
      <c r="E2523" s="3" t="str">
        <f t="shared" si="39"/>
        <v/>
      </c>
    </row>
    <row r="2524" spans="5:5" x14ac:dyDescent="0.25">
      <c r="E2524" s="3" t="str">
        <f t="shared" si="39"/>
        <v/>
      </c>
    </row>
    <row r="2525" spans="5:5" x14ac:dyDescent="0.25">
      <c r="E2525" s="3" t="str">
        <f t="shared" si="39"/>
        <v/>
      </c>
    </row>
    <row r="2526" spans="5:5" x14ac:dyDescent="0.25">
      <c r="E2526" s="3" t="str">
        <f t="shared" si="39"/>
        <v/>
      </c>
    </row>
    <row r="2527" spans="5:5" x14ac:dyDescent="0.25">
      <c r="E2527" s="3" t="str">
        <f t="shared" si="39"/>
        <v/>
      </c>
    </row>
    <row r="2528" spans="5:5" x14ac:dyDescent="0.25">
      <c r="E2528" s="3" t="str">
        <f t="shared" si="39"/>
        <v/>
      </c>
    </row>
    <row r="2529" spans="5:5" x14ac:dyDescent="0.25">
      <c r="E2529" s="3" t="str">
        <f t="shared" si="39"/>
        <v/>
      </c>
    </row>
    <row r="2530" spans="5:5" x14ac:dyDescent="0.25">
      <c r="E2530" s="3" t="str">
        <f t="shared" si="39"/>
        <v/>
      </c>
    </row>
    <row r="2531" spans="5:5" x14ac:dyDescent="0.25">
      <c r="E2531" s="3" t="str">
        <f t="shared" si="39"/>
        <v/>
      </c>
    </row>
    <row r="2532" spans="5:5" x14ac:dyDescent="0.25">
      <c r="E2532" s="3" t="str">
        <f t="shared" si="39"/>
        <v/>
      </c>
    </row>
    <row r="2533" spans="5:5" x14ac:dyDescent="0.25">
      <c r="E2533" s="3" t="str">
        <f t="shared" si="39"/>
        <v/>
      </c>
    </row>
    <row r="2534" spans="5:5" x14ac:dyDescent="0.25">
      <c r="E2534" s="3" t="str">
        <f t="shared" si="39"/>
        <v/>
      </c>
    </row>
    <row r="2535" spans="5:5" x14ac:dyDescent="0.25">
      <c r="E2535" s="3" t="str">
        <f t="shared" si="39"/>
        <v/>
      </c>
    </row>
    <row r="2536" spans="5:5" x14ac:dyDescent="0.25">
      <c r="E2536" s="3" t="str">
        <f t="shared" si="39"/>
        <v/>
      </c>
    </row>
    <row r="2537" spans="5:5" x14ac:dyDescent="0.25">
      <c r="E2537" s="3" t="str">
        <f t="shared" si="39"/>
        <v/>
      </c>
    </row>
    <row r="2538" spans="5:5" x14ac:dyDescent="0.25">
      <c r="E2538" s="3" t="str">
        <f t="shared" si="39"/>
        <v/>
      </c>
    </row>
    <row r="2539" spans="5:5" x14ac:dyDescent="0.25">
      <c r="E2539" s="3" t="str">
        <f t="shared" si="39"/>
        <v/>
      </c>
    </row>
    <row r="2540" spans="5:5" x14ac:dyDescent="0.25">
      <c r="E2540" s="3" t="str">
        <f t="shared" si="39"/>
        <v/>
      </c>
    </row>
    <row r="2541" spans="5:5" x14ac:dyDescent="0.25">
      <c r="E2541" s="3" t="str">
        <f t="shared" si="39"/>
        <v/>
      </c>
    </row>
    <row r="2542" spans="5:5" x14ac:dyDescent="0.25">
      <c r="E2542" s="3" t="str">
        <f t="shared" si="39"/>
        <v/>
      </c>
    </row>
    <row r="2543" spans="5:5" x14ac:dyDescent="0.25">
      <c r="E2543" s="3" t="str">
        <f t="shared" si="39"/>
        <v/>
      </c>
    </row>
    <row r="2544" spans="5:5" x14ac:dyDescent="0.25">
      <c r="E2544" s="3" t="str">
        <f t="shared" si="39"/>
        <v/>
      </c>
    </row>
    <row r="2545" spans="5:5" x14ac:dyDescent="0.25">
      <c r="E2545" s="3" t="str">
        <f t="shared" si="39"/>
        <v/>
      </c>
    </row>
    <row r="2546" spans="5:5" x14ac:dyDescent="0.25">
      <c r="E2546" s="3" t="str">
        <f t="shared" si="39"/>
        <v/>
      </c>
    </row>
    <row r="2547" spans="5:5" x14ac:dyDescent="0.25">
      <c r="E2547" s="3" t="str">
        <f t="shared" si="39"/>
        <v/>
      </c>
    </row>
    <row r="2548" spans="5:5" x14ac:dyDescent="0.25">
      <c r="E2548" s="3" t="str">
        <f t="shared" si="39"/>
        <v/>
      </c>
    </row>
    <row r="2549" spans="5:5" x14ac:dyDescent="0.25">
      <c r="E2549" s="3" t="str">
        <f t="shared" si="39"/>
        <v/>
      </c>
    </row>
    <row r="2550" spans="5:5" x14ac:dyDescent="0.25">
      <c r="E2550" s="3" t="str">
        <f t="shared" si="39"/>
        <v/>
      </c>
    </row>
    <row r="2551" spans="5:5" x14ac:dyDescent="0.25">
      <c r="E2551" s="3" t="str">
        <f t="shared" si="39"/>
        <v/>
      </c>
    </row>
    <row r="2552" spans="5:5" x14ac:dyDescent="0.25">
      <c r="E2552" s="3" t="str">
        <f t="shared" si="39"/>
        <v/>
      </c>
    </row>
    <row r="2553" spans="5:5" x14ac:dyDescent="0.25">
      <c r="E2553" s="3" t="str">
        <f t="shared" si="39"/>
        <v/>
      </c>
    </row>
    <row r="2554" spans="5:5" x14ac:dyDescent="0.25">
      <c r="E2554" s="3" t="str">
        <f t="shared" si="39"/>
        <v/>
      </c>
    </row>
    <row r="2555" spans="5:5" x14ac:dyDescent="0.25">
      <c r="E2555" s="3" t="str">
        <f t="shared" si="39"/>
        <v/>
      </c>
    </row>
    <row r="2556" spans="5:5" x14ac:dyDescent="0.25">
      <c r="E2556" s="3" t="str">
        <f t="shared" si="39"/>
        <v/>
      </c>
    </row>
    <row r="2557" spans="5:5" x14ac:dyDescent="0.25">
      <c r="E2557" s="3" t="str">
        <f t="shared" si="39"/>
        <v/>
      </c>
    </row>
    <row r="2558" spans="5:5" x14ac:dyDescent="0.25">
      <c r="E2558" s="3" t="str">
        <f t="shared" si="39"/>
        <v/>
      </c>
    </row>
    <row r="2559" spans="5:5" x14ac:dyDescent="0.25">
      <c r="E2559" s="3" t="str">
        <f t="shared" si="39"/>
        <v/>
      </c>
    </row>
    <row r="2560" spans="5:5" x14ac:dyDescent="0.25">
      <c r="E2560" s="3" t="str">
        <f t="shared" si="39"/>
        <v/>
      </c>
    </row>
    <row r="2561" spans="5:5" x14ac:dyDescent="0.25">
      <c r="E2561" s="3" t="str">
        <f t="shared" si="39"/>
        <v/>
      </c>
    </row>
    <row r="2562" spans="5:5" x14ac:dyDescent="0.25">
      <c r="E2562" s="3" t="str">
        <f t="shared" si="39"/>
        <v/>
      </c>
    </row>
    <row r="2563" spans="5:5" x14ac:dyDescent="0.25">
      <c r="E2563" s="3" t="str">
        <f t="shared" ref="E2563:E2626" si="40">IF(COUNTIF(C$3:C$5000,C2563)&gt;1,"DUPLICADO","")</f>
        <v/>
      </c>
    </row>
    <row r="2564" spans="5:5" x14ac:dyDescent="0.25">
      <c r="E2564" s="3" t="str">
        <f t="shared" si="40"/>
        <v/>
      </c>
    </row>
    <row r="2565" spans="5:5" x14ac:dyDescent="0.25">
      <c r="E2565" s="3" t="str">
        <f t="shared" si="40"/>
        <v/>
      </c>
    </row>
    <row r="2566" spans="5:5" x14ac:dyDescent="0.25">
      <c r="E2566" s="3" t="str">
        <f t="shared" si="40"/>
        <v/>
      </c>
    </row>
    <row r="2567" spans="5:5" x14ac:dyDescent="0.25">
      <c r="E2567" s="3" t="str">
        <f t="shared" si="40"/>
        <v/>
      </c>
    </row>
    <row r="2568" spans="5:5" x14ac:dyDescent="0.25">
      <c r="E2568" s="3" t="str">
        <f t="shared" si="40"/>
        <v/>
      </c>
    </row>
    <row r="2569" spans="5:5" x14ac:dyDescent="0.25">
      <c r="E2569" s="3" t="str">
        <f t="shared" si="40"/>
        <v/>
      </c>
    </row>
    <row r="2570" spans="5:5" x14ac:dyDescent="0.25">
      <c r="E2570" s="3" t="str">
        <f t="shared" si="40"/>
        <v/>
      </c>
    </row>
    <row r="2571" spans="5:5" x14ac:dyDescent="0.25">
      <c r="E2571" s="3" t="str">
        <f t="shared" si="40"/>
        <v/>
      </c>
    </row>
    <row r="2572" spans="5:5" x14ac:dyDescent="0.25">
      <c r="E2572" s="3" t="str">
        <f t="shared" si="40"/>
        <v/>
      </c>
    </row>
    <row r="2573" spans="5:5" x14ac:dyDescent="0.25">
      <c r="E2573" s="3" t="str">
        <f t="shared" si="40"/>
        <v/>
      </c>
    </row>
    <row r="2574" spans="5:5" x14ac:dyDescent="0.25">
      <c r="E2574" s="3" t="str">
        <f t="shared" si="40"/>
        <v/>
      </c>
    </row>
    <row r="2575" spans="5:5" x14ac:dyDescent="0.25">
      <c r="E2575" s="3" t="str">
        <f t="shared" si="40"/>
        <v/>
      </c>
    </row>
    <row r="2576" spans="5:5" x14ac:dyDescent="0.25">
      <c r="E2576" s="3" t="str">
        <f t="shared" si="40"/>
        <v/>
      </c>
    </row>
    <row r="2577" spans="5:5" x14ac:dyDescent="0.25">
      <c r="E2577" s="3" t="str">
        <f t="shared" si="40"/>
        <v/>
      </c>
    </row>
    <row r="2578" spans="5:5" x14ac:dyDescent="0.25">
      <c r="E2578" s="3" t="str">
        <f t="shared" si="40"/>
        <v/>
      </c>
    </row>
    <row r="2579" spans="5:5" x14ac:dyDescent="0.25">
      <c r="E2579" s="3" t="str">
        <f t="shared" si="40"/>
        <v/>
      </c>
    </row>
    <row r="2580" spans="5:5" x14ac:dyDescent="0.25">
      <c r="E2580" s="3" t="str">
        <f t="shared" si="40"/>
        <v/>
      </c>
    </row>
    <row r="2581" spans="5:5" x14ac:dyDescent="0.25">
      <c r="E2581" s="3" t="str">
        <f t="shared" si="40"/>
        <v/>
      </c>
    </row>
    <row r="2582" spans="5:5" x14ac:dyDescent="0.25">
      <c r="E2582" s="3" t="str">
        <f t="shared" si="40"/>
        <v/>
      </c>
    </row>
    <row r="2583" spans="5:5" x14ac:dyDescent="0.25">
      <c r="E2583" s="3" t="str">
        <f t="shared" si="40"/>
        <v/>
      </c>
    </row>
    <row r="2584" spans="5:5" x14ac:dyDescent="0.25">
      <c r="E2584" s="3" t="str">
        <f t="shared" si="40"/>
        <v/>
      </c>
    </row>
    <row r="2585" spans="5:5" x14ac:dyDescent="0.25">
      <c r="E2585" s="3" t="str">
        <f t="shared" si="40"/>
        <v/>
      </c>
    </row>
    <row r="2586" spans="5:5" x14ac:dyDescent="0.25">
      <c r="E2586" s="3" t="str">
        <f t="shared" si="40"/>
        <v/>
      </c>
    </row>
    <row r="2587" spans="5:5" x14ac:dyDescent="0.25">
      <c r="E2587" s="3" t="str">
        <f t="shared" si="40"/>
        <v/>
      </c>
    </row>
    <row r="2588" spans="5:5" x14ac:dyDescent="0.25">
      <c r="E2588" s="3" t="str">
        <f t="shared" si="40"/>
        <v/>
      </c>
    </row>
    <row r="2589" spans="5:5" x14ac:dyDescent="0.25">
      <c r="E2589" s="3" t="str">
        <f t="shared" si="40"/>
        <v/>
      </c>
    </row>
    <row r="2590" spans="5:5" x14ac:dyDescent="0.25">
      <c r="E2590" s="3" t="str">
        <f t="shared" si="40"/>
        <v/>
      </c>
    </row>
    <row r="2591" spans="5:5" x14ac:dyDescent="0.25">
      <c r="E2591" s="3" t="str">
        <f t="shared" si="40"/>
        <v/>
      </c>
    </row>
    <row r="2592" spans="5:5" x14ac:dyDescent="0.25">
      <c r="E2592" s="3" t="str">
        <f t="shared" si="40"/>
        <v/>
      </c>
    </row>
    <row r="2593" spans="5:5" x14ac:dyDescent="0.25">
      <c r="E2593" s="3" t="str">
        <f t="shared" si="40"/>
        <v/>
      </c>
    </row>
    <row r="2594" spans="5:5" x14ac:dyDescent="0.25">
      <c r="E2594" s="3" t="str">
        <f t="shared" si="40"/>
        <v/>
      </c>
    </row>
    <row r="2595" spans="5:5" x14ac:dyDescent="0.25">
      <c r="E2595" s="3" t="str">
        <f t="shared" si="40"/>
        <v/>
      </c>
    </row>
    <row r="2596" spans="5:5" x14ac:dyDescent="0.25">
      <c r="E2596" s="3" t="str">
        <f t="shared" si="40"/>
        <v/>
      </c>
    </row>
    <row r="2597" spans="5:5" x14ac:dyDescent="0.25">
      <c r="E2597" s="3" t="str">
        <f t="shared" si="40"/>
        <v/>
      </c>
    </row>
    <row r="2598" spans="5:5" x14ac:dyDescent="0.25">
      <c r="E2598" s="3" t="str">
        <f t="shared" si="40"/>
        <v/>
      </c>
    </row>
    <row r="2599" spans="5:5" x14ac:dyDescent="0.25">
      <c r="E2599" s="3" t="str">
        <f t="shared" si="40"/>
        <v/>
      </c>
    </row>
    <row r="2600" spans="5:5" x14ac:dyDescent="0.25">
      <c r="E2600" s="3" t="str">
        <f t="shared" si="40"/>
        <v/>
      </c>
    </row>
    <row r="2601" spans="5:5" x14ac:dyDescent="0.25">
      <c r="E2601" s="3" t="str">
        <f t="shared" si="40"/>
        <v/>
      </c>
    </row>
    <row r="2602" spans="5:5" x14ac:dyDescent="0.25">
      <c r="E2602" s="3" t="str">
        <f t="shared" si="40"/>
        <v/>
      </c>
    </row>
    <row r="2603" spans="5:5" x14ac:dyDescent="0.25">
      <c r="E2603" s="3" t="str">
        <f t="shared" si="40"/>
        <v/>
      </c>
    </row>
    <row r="2604" spans="5:5" x14ac:dyDescent="0.25">
      <c r="E2604" s="3" t="str">
        <f t="shared" si="40"/>
        <v/>
      </c>
    </row>
    <row r="2605" spans="5:5" x14ac:dyDescent="0.25">
      <c r="E2605" s="3" t="str">
        <f t="shared" si="40"/>
        <v/>
      </c>
    </row>
    <row r="2606" spans="5:5" x14ac:dyDescent="0.25">
      <c r="E2606" s="3" t="str">
        <f t="shared" si="40"/>
        <v/>
      </c>
    </row>
    <row r="2607" spans="5:5" x14ac:dyDescent="0.25">
      <c r="E2607" s="3" t="str">
        <f t="shared" si="40"/>
        <v/>
      </c>
    </row>
    <row r="2608" spans="5:5" x14ac:dyDescent="0.25">
      <c r="E2608" s="3" t="str">
        <f t="shared" si="40"/>
        <v/>
      </c>
    </row>
    <row r="2609" spans="5:5" x14ac:dyDescent="0.25">
      <c r="E2609" s="3" t="str">
        <f t="shared" si="40"/>
        <v/>
      </c>
    </row>
    <row r="2610" spans="5:5" x14ac:dyDescent="0.25">
      <c r="E2610" s="3" t="str">
        <f t="shared" si="40"/>
        <v/>
      </c>
    </row>
    <row r="2611" spans="5:5" x14ac:dyDescent="0.25">
      <c r="E2611" s="3" t="str">
        <f t="shared" si="40"/>
        <v/>
      </c>
    </row>
    <row r="2612" spans="5:5" x14ac:dyDescent="0.25">
      <c r="E2612" s="3" t="str">
        <f t="shared" si="40"/>
        <v/>
      </c>
    </row>
    <row r="2613" spans="5:5" x14ac:dyDescent="0.25">
      <c r="E2613" s="3" t="str">
        <f t="shared" si="40"/>
        <v/>
      </c>
    </row>
    <row r="2614" spans="5:5" x14ac:dyDescent="0.25">
      <c r="E2614" s="3" t="str">
        <f t="shared" si="40"/>
        <v/>
      </c>
    </row>
    <row r="2615" spans="5:5" x14ac:dyDescent="0.25">
      <c r="E2615" s="3" t="str">
        <f t="shared" si="40"/>
        <v/>
      </c>
    </row>
    <row r="2616" spans="5:5" x14ac:dyDescent="0.25">
      <c r="E2616" s="3" t="str">
        <f t="shared" si="40"/>
        <v/>
      </c>
    </row>
    <row r="2617" spans="5:5" x14ac:dyDescent="0.25">
      <c r="E2617" s="3" t="str">
        <f t="shared" si="40"/>
        <v/>
      </c>
    </row>
    <row r="2618" spans="5:5" x14ac:dyDescent="0.25">
      <c r="E2618" s="3" t="str">
        <f t="shared" si="40"/>
        <v/>
      </c>
    </row>
    <row r="2619" spans="5:5" x14ac:dyDescent="0.25">
      <c r="E2619" s="3" t="str">
        <f t="shared" si="40"/>
        <v/>
      </c>
    </row>
    <row r="2620" spans="5:5" x14ac:dyDescent="0.25">
      <c r="E2620" s="3" t="str">
        <f t="shared" si="40"/>
        <v/>
      </c>
    </row>
    <row r="2621" spans="5:5" x14ac:dyDescent="0.25">
      <c r="E2621" s="3" t="str">
        <f t="shared" si="40"/>
        <v/>
      </c>
    </row>
    <row r="2622" spans="5:5" x14ac:dyDescent="0.25">
      <c r="E2622" s="3" t="str">
        <f t="shared" si="40"/>
        <v/>
      </c>
    </row>
    <row r="2623" spans="5:5" x14ac:dyDescent="0.25">
      <c r="E2623" s="3" t="str">
        <f t="shared" si="40"/>
        <v/>
      </c>
    </row>
    <row r="2624" spans="5:5" x14ac:dyDescent="0.25">
      <c r="E2624" s="3" t="str">
        <f t="shared" si="40"/>
        <v/>
      </c>
    </row>
    <row r="2625" spans="5:5" x14ac:dyDescent="0.25">
      <c r="E2625" s="3" t="str">
        <f t="shared" si="40"/>
        <v/>
      </c>
    </row>
    <row r="2626" spans="5:5" x14ac:dyDescent="0.25">
      <c r="E2626" s="3" t="str">
        <f t="shared" si="40"/>
        <v/>
      </c>
    </row>
    <row r="2627" spans="5:5" x14ac:dyDescent="0.25">
      <c r="E2627" s="3" t="str">
        <f t="shared" ref="E2627:E2690" si="41">IF(COUNTIF(C$3:C$5000,C2627)&gt;1,"DUPLICADO","")</f>
        <v/>
      </c>
    </row>
    <row r="2628" spans="5:5" x14ac:dyDescent="0.25">
      <c r="E2628" s="3" t="str">
        <f t="shared" si="41"/>
        <v/>
      </c>
    </row>
    <row r="2629" spans="5:5" x14ac:dyDescent="0.25">
      <c r="E2629" s="3" t="str">
        <f t="shared" si="41"/>
        <v/>
      </c>
    </row>
    <row r="2630" spans="5:5" x14ac:dyDescent="0.25">
      <c r="E2630" s="3" t="str">
        <f t="shared" si="41"/>
        <v/>
      </c>
    </row>
    <row r="2631" spans="5:5" x14ac:dyDescent="0.25">
      <c r="E2631" s="3" t="str">
        <f t="shared" si="41"/>
        <v/>
      </c>
    </row>
    <row r="2632" spans="5:5" x14ac:dyDescent="0.25">
      <c r="E2632" s="3" t="str">
        <f t="shared" si="41"/>
        <v/>
      </c>
    </row>
    <row r="2633" spans="5:5" x14ac:dyDescent="0.25">
      <c r="E2633" s="3" t="str">
        <f t="shared" si="41"/>
        <v/>
      </c>
    </row>
    <row r="2634" spans="5:5" x14ac:dyDescent="0.25">
      <c r="E2634" s="3" t="str">
        <f t="shared" si="41"/>
        <v/>
      </c>
    </row>
    <row r="2635" spans="5:5" x14ac:dyDescent="0.25">
      <c r="E2635" s="3" t="str">
        <f t="shared" si="41"/>
        <v/>
      </c>
    </row>
    <row r="2636" spans="5:5" x14ac:dyDescent="0.25">
      <c r="E2636" s="3" t="str">
        <f t="shared" si="41"/>
        <v/>
      </c>
    </row>
    <row r="2637" spans="5:5" x14ac:dyDescent="0.25">
      <c r="E2637" s="3" t="str">
        <f t="shared" si="41"/>
        <v/>
      </c>
    </row>
    <row r="2638" spans="5:5" x14ac:dyDescent="0.25">
      <c r="E2638" s="3" t="str">
        <f t="shared" si="41"/>
        <v/>
      </c>
    </row>
    <row r="2639" spans="5:5" x14ac:dyDescent="0.25">
      <c r="E2639" s="3" t="str">
        <f t="shared" si="41"/>
        <v/>
      </c>
    </row>
    <row r="2640" spans="5:5" x14ac:dyDescent="0.25">
      <c r="E2640" s="3" t="str">
        <f t="shared" si="41"/>
        <v/>
      </c>
    </row>
    <row r="2641" spans="5:5" x14ac:dyDescent="0.25">
      <c r="E2641" s="3" t="str">
        <f t="shared" si="41"/>
        <v/>
      </c>
    </row>
    <row r="2642" spans="5:5" x14ac:dyDescent="0.25">
      <c r="E2642" s="3" t="str">
        <f t="shared" si="41"/>
        <v/>
      </c>
    </row>
    <row r="2643" spans="5:5" x14ac:dyDescent="0.25">
      <c r="E2643" s="3" t="str">
        <f t="shared" si="41"/>
        <v/>
      </c>
    </row>
    <row r="2644" spans="5:5" x14ac:dyDescent="0.25">
      <c r="E2644" s="3" t="str">
        <f t="shared" si="41"/>
        <v/>
      </c>
    </row>
    <row r="2645" spans="5:5" x14ac:dyDescent="0.25">
      <c r="E2645" s="3" t="str">
        <f t="shared" si="41"/>
        <v/>
      </c>
    </row>
    <row r="2646" spans="5:5" x14ac:dyDescent="0.25">
      <c r="E2646" s="3" t="str">
        <f t="shared" si="41"/>
        <v/>
      </c>
    </row>
    <row r="2647" spans="5:5" x14ac:dyDescent="0.25">
      <c r="E2647" s="3" t="str">
        <f t="shared" si="41"/>
        <v/>
      </c>
    </row>
    <row r="2648" spans="5:5" x14ac:dyDescent="0.25">
      <c r="E2648" s="3" t="str">
        <f t="shared" si="41"/>
        <v/>
      </c>
    </row>
    <row r="2649" spans="5:5" x14ac:dyDescent="0.25">
      <c r="E2649" s="3" t="str">
        <f t="shared" si="41"/>
        <v/>
      </c>
    </row>
    <row r="2650" spans="5:5" x14ac:dyDescent="0.25">
      <c r="E2650" s="3" t="str">
        <f t="shared" si="41"/>
        <v/>
      </c>
    </row>
    <row r="2651" spans="5:5" x14ac:dyDescent="0.25">
      <c r="E2651" s="3" t="str">
        <f t="shared" si="41"/>
        <v/>
      </c>
    </row>
    <row r="2652" spans="5:5" x14ac:dyDescent="0.25">
      <c r="E2652" s="3" t="str">
        <f t="shared" si="41"/>
        <v/>
      </c>
    </row>
    <row r="2653" spans="5:5" x14ac:dyDescent="0.25">
      <c r="E2653" s="3" t="str">
        <f t="shared" si="41"/>
        <v/>
      </c>
    </row>
    <row r="2654" spans="5:5" x14ac:dyDescent="0.25">
      <c r="E2654" s="3" t="str">
        <f t="shared" si="41"/>
        <v/>
      </c>
    </row>
    <row r="2655" spans="5:5" x14ac:dyDescent="0.25">
      <c r="E2655" s="3" t="str">
        <f t="shared" si="41"/>
        <v/>
      </c>
    </row>
    <row r="2656" spans="5:5" x14ac:dyDescent="0.25">
      <c r="E2656" s="3" t="str">
        <f t="shared" si="41"/>
        <v/>
      </c>
    </row>
    <row r="2657" spans="5:5" x14ac:dyDescent="0.25">
      <c r="E2657" s="3" t="str">
        <f t="shared" si="41"/>
        <v/>
      </c>
    </row>
    <row r="2658" spans="5:5" x14ac:dyDescent="0.25">
      <c r="E2658" s="3" t="str">
        <f t="shared" si="41"/>
        <v/>
      </c>
    </row>
    <row r="2659" spans="5:5" x14ac:dyDescent="0.25">
      <c r="E2659" s="3" t="str">
        <f t="shared" si="41"/>
        <v/>
      </c>
    </row>
    <row r="2660" spans="5:5" x14ac:dyDescent="0.25">
      <c r="E2660" s="3" t="str">
        <f t="shared" si="41"/>
        <v/>
      </c>
    </row>
    <row r="2661" spans="5:5" x14ac:dyDescent="0.25">
      <c r="E2661" s="3" t="str">
        <f t="shared" si="41"/>
        <v/>
      </c>
    </row>
    <row r="2662" spans="5:5" x14ac:dyDescent="0.25">
      <c r="E2662" s="3" t="str">
        <f t="shared" si="41"/>
        <v/>
      </c>
    </row>
    <row r="2663" spans="5:5" x14ac:dyDescent="0.25">
      <c r="E2663" s="3" t="str">
        <f t="shared" si="41"/>
        <v/>
      </c>
    </row>
    <row r="2664" spans="5:5" x14ac:dyDescent="0.25">
      <c r="E2664" s="3" t="str">
        <f t="shared" si="41"/>
        <v/>
      </c>
    </row>
    <row r="2665" spans="5:5" x14ac:dyDescent="0.25">
      <c r="E2665" s="3" t="str">
        <f t="shared" si="41"/>
        <v/>
      </c>
    </row>
    <row r="2666" spans="5:5" x14ac:dyDescent="0.25">
      <c r="E2666" s="3" t="str">
        <f t="shared" si="41"/>
        <v/>
      </c>
    </row>
    <row r="2667" spans="5:5" x14ac:dyDescent="0.25">
      <c r="E2667" s="3" t="str">
        <f t="shared" si="41"/>
        <v/>
      </c>
    </row>
    <row r="2668" spans="5:5" x14ac:dyDescent="0.25">
      <c r="E2668" s="3" t="str">
        <f t="shared" si="41"/>
        <v/>
      </c>
    </row>
    <row r="2669" spans="5:5" x14ac:dyDescent="0.25">
      <c r="E2669" s="3" t="str">
        <f t="shared" si="41"/>
        <v/>
      </c>
    </row>
    <row r="2670" spans="5:5" x14ac:dyDescent="0.25">
      <c r="E2670" s="3" t="str">
        <f t="shared" si="41"/>
        <v/>
      </c>
    </row>
    <row r="2671" spans="5:5" x14ac:dyDescent="0.25">
      <c r="E2671" s="3" t="str">
        <f t="shared" si="41"/>
        <v/>
      </c>
    </row>
    <row r="2672" spans="5:5" x14ac:dyDescent="0.25">
      <c r="E2672" s="3" t="str">
        <f t="shared" si="41"/>
        <v/>
      </c>
    </row>
    <row r="2673" spans="5:5" x14ac:dyDescent="0.25">
      <c r="E2673" s="3" t="str">
        <f t="shared" si="41"/>
        <v/>
      </c>
    </row>
    <row r="2674" spans="5:5" x14ac:dyDescent="0.25">
      <c r="E2674" s="3" t="str">
        <f t="shared" si="41"/>
        <v/>
      </c>
    </row>
    <row r="2675" spans="5:5" x14ac:dyDescent="0.25">
      <c r="E2675" s="3" t="str">
        <f t="shared" si="41"/>
        <v/>
      </c>
    </row>
    <row r="2676" spans="5:5" x14ac:dyDescent="0.25">
      <c r="E2676" s="3" t="str">
        <f t="shared" si="41"/>
        <v/>
      </c>
    </row>
    <row r="2677" spans="5:5" x14ac:dyDescent="0.25">
      <c r="E2677" s="3" t="str">
        <f t="shared" si="41"/>
        <v/>
      </c>
    </row>
    <row r="2678" spans="5:5" x14ac:dyDescent="0.25">
      <c r="E2678" s="3" t="str">
        <f t="shared" si="41"/>
        <v/>
      </c>
    </row>
    <row r="2679" spans="5:5" x14ac:dyDescent="0.25">
      <c r="E2679" s="3" t="str">
        <f t="shared" si="41"/>
        <v/>
      </c>
    </row>
    <row r="2680" spans="5:5" x14ac:dyDescent="0.25">
      <c r="E2680" s="3" t="str">
        <f t="shared" si="41"/>
        <v/>
      </c>
    </row>
    <row r="2681" spans="5:5" x14ac:dyDescent="0.25">
      <c r="E2681" s="3" t="str">
        <f t="shared" si="41"/>
        <v/>
      </c>
    </row>
    <row r="2682" spans="5:5" x14ac:dyDescent="0.25">
      <c r="E2682" s="3" t="str">
        <f t="shared" si="41"/>
        <v/>
      </c>
    </row>
    <row r="2683" spans="5:5" x14ac:dyDescent="0.25">
      <c r="E2683" s="3" t="str">
        <f t="shared" si="41"/>
        <v/>
      </c>
    </row>
    <row r="2684" spans="5:5" x14ac:dyDescent="0.25">
      <c r="E2684" s="3" t="str">
        <f t="shared" si="41"/>
        <v/>
      </c>
    </row>
    <row r="2685" spans="5:5" x14ac:dyDescent="0.25">
      <c r="E2685" s="3" t="str">
        <f t="shared" si="41"/>
        <v/>
      </c>
    </row>
    <row r="2686" spans="5:5" x14ac:dyDescent="0.25">
      <c r="E2686" s="3" t="str">
        <f t="shared" si="41"/>
        <v/>
      </c>
    </row>
    <row r="2687" spans="5:5" x14ac:dyDescent="0.25">
      <c r="E2687" s="3" t="str">
        <f t="shared" si="41"/>
        <v/>
      </c>
    </row>
    <row r="2688" spans="5:5" x14ac:dyDescent="0.25">
      <c r="E2688" s="3" t="str">
        <f t="shared" si="41"/>
        <v/>
      </c>
    </row>
    <row r="2689" spans="5:5" x14ac:dyDescent="0.25">
      <c r="E2689" s="3" t="str">
        <f t="shared" si="41"/>
        <v/>
      </c>
    </row>
    <row r="2690" spans="5:5" x14ac:dyDescent="0.25">
      <c r="E2690" s="3" t="str">
        <f t="shared" si="41"/>
        <v/>
      </c>
    </row>
    <row r="2691" spans="5:5" x14ac:dyDescent="0.25">
      <c r="E2691" s="3" t="str">
        <f t="shared" ref="E2691:E2754" si="42">IF(COUNTIF(C$3:C$5000,C2691)&gt;1,"DUPLICADO","")</f>
        <v/>
      </c>
    </row>
    <row r="2692" spans="5:5" x14ac:dyDescent="0.25">
      <c r="E2692" s="3" t="str">
        <f t="shared" si="42"/>
        <v/>
      </c>
    </row>
    <row r="2693" spans="5:5" x14ac:dyDescent="0.25">
      <c r="E2693" s="3" t="str">
        <f t="shared" si="42"/>
        <v/>
      </c>
    </row>
    <row r="2694" spans="5:5" x14ac:dyDescent="0.25">
      <c r="E2694" s="3" t="str">
        <f t="shared" si="42"/>
        <v/>
      </c>
    </row>
    <row r="2695" spans="5:5" x14ac:dyDescent="0.25">
      <c r="E2695" s="3" t="str">
        <f t="shared" si="42"/>
        <v/>
      </c>
    </row>
    <row r="2696" spans="5:5" x14ac:dyDescent="0.25">
      <c r="E2696" s="3" t="str">
        <f t="shared" si="42"/>
        <v/>
      </c>
    </row>
    <row r="2697" spans="5:5" x14ac:dyDescent="0.25">
      <c r="E2697" s="3" t="str">
        <f t="shared" si="42"/>
        <v/>
      </c>
    </row>
    <row r="2698" spans="5:5" x14ac:dyDescent="0.25">
      <c r="E2698" s="3" t="str">
        <f t="shared" si="42"/>
        <v/>
      </c>
    </row>
    <row r="2699" spans="5:5" x14ac:dyDescent="0.25">
      <c r="E2699" s="3" t="str">
        <f t="shared" si="42"/>
        <v/>
      </c>
    </row>
    <row r="2700" spans="5:5" x14ac:dyDescent="0.25">
      <c r="E2700" s="3" t="str">
        <f t="shared" si="42"/>
        <v/>
      </c>
    </row>
    <row r="2701" spans="5:5" x14ac:dyDescent="0.25">
      <c r="E2701" s="3" t="str">
        <f t="shared" si="42"/>
        <v/>
      </c>
    </row>
    <row r="2702" spans="5:5" x14ac:dyDescent="0.25">
      <c r="E2702" s="3" t="str">
        <f t="shared" si="42"/>
        <v/>
      </c>
    </row>
    <row r="2703" spans="5:5" x14ac:dyDescent="0.25">
      <c r="E2703" s="3" t="str">
        <f t="shared" si="42"/>
        <v/>
      </c>
    </row>
    <row r="2704" spans="5:5" x14ac:dyDescent="0.25">
      <c r="E2704" s="3" t="str">
        <f t="shared" si="42"/>
        <v/>
      </c>
    </row>
    <row r="2705" spans="5:5" x14ac:dyDescent="0.25">
      <c r="E2705" s="3" t="str">
        <f t="shared" si="42"/>
        <v/>
      </c>
    </row>
    <row r="2706" spans="5:5" x14ac:dyDescent="0.25">
      <c r="E2706" s="3" t="str">
        <f t="shared" si="42"/>
        <v/>
      </c>
    </row>
    <row r="2707" spans="5:5" x14ac:dyDescent="0.25">
      <c r="E2707" s="3" t="str">
        <f t="shared" si="42"/>
        <v/>
      </c>
    </row>
    <row r="2708" spans="5:5" x14ac:dyDescent="0.25">
      <c r="E2708" s="3" t="str">
        <f t="shared" si="42"/>
        <v/>
      </c>
    </row>
    <row r="2709" spans="5:5" x14ac:dyDescent="0.25">
      <c r="E2709" s="3" t="str">
        <f t="shared" si="42"/>
        <v/>
      </c>
    </row>
    <row r="2710" spans="5:5" x14ac:dyDescent="0.25">
      <c r="E2710" s="3" t="str">
        <f t="shared" si="42"/>
        <v/>
      </c>
    </row>
    <row r="2711" spans="5:5" x14ac:dyDescent="0.25">
      <c r="E2711" s="3" t="str">
        <f t="shared" si="42"/>
        <v/>
      </c>
    </row>
    <row r="2712" spans="5:5" x14ac:dyDescent="0.25">
      <c r="E2712" s="3" t="str">
        <f t="shared" si="42"/>
        <v/>
      </c>
    </row>
    <row r="2713" spans="5:5" x14ac:dyDescent="0.25">
      <c r="E2713" s="3" t="str">
        <f t="shared" si="42"/>
        <v/>
      </c>
    </row>
    <row r="2714" spans="5:5" x14ac:dyDescent="0.25">
      <c r="E2714" s="3" t="str">
        <f t="shared" si="42"/>
        <v/>
      </c>
    </row>
    <row r="2715" spans="5:5" x14ac:dyDescent="0.25">
      <c r="E2715" s="3" t="str">
        <f t="shared" si="42"/>
        <v/>
      </c>
    </row>
    <row r="2716" spans="5:5" x14ac:dyDescent="0.25">
      <c r="E2716" s="3" t="str">
        <f t="shared" si="42"/>
        <v/>
      </c>
    </row>
    <row r="2717" spans="5:5" x14ac:dyDescent="0.25">
      <c r="E2717" s="3" t="str">
        <f t="shared" si="42"/>
        <v/>
      </c>
    </row>
    <row r="2718" spans="5:5" x14ac:dyDescent="0.25">
      <c r="E2718" s="3" t="str">
        <f t="shared" si="42"/>
        <v/>
      </c>
    </row>
    <row r="2719" spans="5:5" x14ac:dyDescent="0.25">
      <c r="E2719" s="3" t="str">
        <f t="shared" si="42"/>
        <v/>
      </c>
    </row>
    <row r="2720" spans="5:5" x14ac:dyDescent="0.25">
      <c r="E2720" s="3" t="str">
        <f t="shared" si="42"/>
        <v/>
      </c>
    </row>
    <row r="2721" spans="5:5" x14ac:dyDescent="0.25">
      <c r="E2721" s="3" t="str">
        <f t="shared" si="42"/>
        <v/>
      </c>
    </row>
    <row r="2722" spans="5:5" x14ac:dyDescent="0.25">
      <c r="E2722" s="3" t="str">
        <f t="shared" si="42"/>
        <v/>
      </c>
    </row>
    <row r="2723" spans="5:5" x14ac:dyDescent="0.25">
      <c r="E2723" s="3" t="str">
        <f t="shared" si="42"/>
        <v/>
      </c>
    </row>
    <row r="2724" spans="5:5" x14ac:dyDescent="0.25">
      <c r="E2724" s="3" t="str">
        <f t="shared" si="42"/>
        <v/>
      </c>
    </row>
    <row r="2725" spans="5:5" x14ac:dyDescent="0.25">
      <c r="E2725" s="3" t="str">
        <f t="shared" si="42"/>
        <v/>
      </c>
    </row>
    <row r="2726" spans="5:5" x14ac:dyDescent="0.25">
      <c r="E2726" s="3" t="str">
        <f t="shared" si="42"/>
        <v/>
      </c>
    </row>
    <row r="2727" spans="5:5" x14ac:dyDescent="0.25">
      <c r="E2727" s="3" t="str">
        <f t="shared" si="42"/>
        <v/>
      </c>
    </row>
    <row r="2728" spans="5:5" x14ac:dyDescent="0.25">
      <c r="E2728" s="3" t="str">
        <f t="shared" si="42"/>
        <v/>
      </c>
    </row>
    <row r="2729" spans="5:5" x14ac:dyDescent="0.25">
      <c r="E2729" s="3" t="str">
        <f t="shared" si="42"/>
        <v/>
      </c>
    </row>
    <row r="2730" spans="5:5" x14ac:dyDescent="0.25">
      <c r="E2730" s="3" t="str">
        <f t="shared" si="42"/>
        <v/>
      </c>
    </row>
    <row r="2731" spans="5:5" x14ac:dyDescent="0.25">
      <c r="E2731" s="3" t="str">
        <f t="shared" si="42"/>
        <v/>
      </c>
    </row>
    <row r="2732" spans="5:5" x14ac:dyDescent="0.25">
      <c r="E2732" s="3" t="str">
        <f t="shared" si="42"/>
        <v/>
      </c>
    </row>
    <row r="2733" spans="5:5" x14ac:dyDescent="0.25">
      <c r="E2733" s="3" t="str">
        <f t="shared" si="42"/>
        <v/>
      </c>
    </row>
    <row r="2734" spans="5:5" x14ac:dyDescent="0.25">
      <c r="E2734" s="3" t="str">
        <f t="shared" si="42"/>
        <v/>
      </c>
    </row>
    <row r="2735" spans="5:5" x14ac:dyDescent="0.25">
      <c r="E2735" s="3" t="str">
        <f t="shared" si="42"/>
        <v/>
      </c>
    </row>
    <row r="2736" spans="5:5" x14ac:dyDescent="0.25">
      <c r="E2736" s="3" t="str">
        <f t="shared" si="42"/>
        <v/>
      </c>
    </row>
    <row r="2737" spans="5:5" x14ac:dyDescent="0.25">
      <c r="E2737" s="3" t="str">
        <f t="shared" si="42"/>
        <v/>
      </c>
    </row>
    <row r="2738" spans="5:5" x14ac:dyDescent="0.25">
      <c r="E2738" s="3" t="str">
        <f t="shared" si="42"/>
        <v/>
      </c>
    </row>
    <row r="2739" spans="5:5" x14ac:dyDescent="0.25">
      <c r="E2739" s="3" t="str">
        <f t="shared" si="42"/>
        <v/>
      </c>
    </row>
    <row r="2740" spans="5:5" x14ac:dyDescent="0.25">
      <c r="E2740" s="3" t="str">
        <f t="shared" si="42"/>
        <v/>
      </c>
    </row>
    <row r="2741" spans="5:5" x14ac:dyDescent="0.25">
      <c r="E2741" s="3" t="str">
        <f t="shared" si="42"/>
        <v/>
      </c>
    </row>
    <row r="2742" spans="5:5" x14ac:dyDescent="0.25">
      <c r="E2742" s="3" t="str">
        <f t="shared" si="42"/>
        <v/>
      </c>
    </row>
    <row r="2743" spans="5:5" x14ac:dyDescent="0.25">
      <c r="E2743" s="3" t="str">
        <f t="shared" si="42"/>
        <v/>
      </c>
    </row>
    <row r="2744" spans="5:5" x14ac:dyDescent="0.25">
      <c r="E2744" s="3" t="str">
        <f t="shared" si="42"/>
        <v/>
      </c>
    </row>
    <row r="2745" spans="5:5" x14ac:dyDescent="0.25">
      <c r="E2745" s="3" t="str">
        <f t="shared" si="42"/>
        <v/>
      </c>
    </row>
    <row r="2746" spans="5:5" x14ac:dyDescent="0.25">
      <c r="E2746" s="3" t="str">
        <f t="shared" si="42"/>
        <v/>
      </c>
    </row>
    <row r="2747" spans="5:5" x14ac:dyDescent="0.25">
      <c r="E2747" s="3" t="str">
        <f t="shared" si="42"/>
        <v/>
      </c>
    </row>
    <row r="2748" spans="5:5" x14ac:dyDescent="0.25">
      <c r="E2748" s="3" t="str">
        <f t="shared" si="42"/>
        <v/>
      </c>
    </row>
    <row r="2749" spans="5:5" x14ac:dyDescent="0.25">
      <c r="E2749" s="3" t="str">
        <f t="shared" si="42"/>
        <v/>
      </c>
    </row>
    <row r="2750" spans="5:5" x14ac:dyDescent="0.25">
      <c r="E2750" s="3" t="str">
        <f t="shared" si="42"/>
        <v/>
      </c>
    </row>
    <row r="2751" spans="5:5" x14ac:dyDescent="0.25">
      <c r="E2751" s="3" t="str">
        <f t="shared" si="42"/>
        <v/>
      </c>
    </row>
    <row r="2752" spans="5:5" x14ac:dyDescent="0.25">
      <c r="E2752" s="3" t="str">
        <f t="shared" si="42"/>
        <v/>
      </c>
    </row>
    <row r="2753" spans="5:5" x14ac:dyDescent="0.25">
      <c r="E2753" s="3" t="str">
        <f t="shared" si="42"/>
        <v/>
      </c>
    </row>
    <row r="2754" spans="5:5" x14ac:dyDescent="0.25">
      <c r="E2754" s="3" t="str">
        <f t="shared" si="42"/>
        <v/>
      </c>
    </row>
    <row r="2755" spans="5:5" x14ac:dyDescent="0.25">
      <c r="E2755" s="3" t="str">
        <f t="shared" ref="E2755:E2818" si="43">IF(COUNTIF(C$3:C$5000,C2755)&gt;1,"DUPLICADO","")</f>
        <v/>
      </c>
    </row>
    <row r="2756" spans="5:5" x14ac:dyDescent="0.25">
      <c r="E2756" s="3" t="str">
        <f t="shared" si="43"/>
        <v/>
      </c>
    </row>
    <row r="2757" spans="5:5" x14ac:dyDescent="0.25">
      <c r="E2757" s="3" t="str">
        <f t="shared" si="43"/>
        <v/>
      </c>
    </row>
    <row r="2758" spans="5:5" x14ac:dyDescent="0.25">
      <c r="E2758" s="3" t="str">
        <f t="shared" si="43"/>
        <v/>
      </c>
    </row>
    <row r="2759" spans="5:5" x14ac:dyDescent="0.25">
      <c r="E2759" s="3" t="str">
        <f t="shared" si="43"/>
        <v/>
      </c>
    </row>
    <row r="2760" spans="5:5" x14ac:dyDescent="0.25">
      <c r="E2760" s="3" t="str">
        <f t="shared" si="43"/>
        <v/>
      </c>
    </row>
    <row r="2761" spans="5:5" x14ac:dyDescent="0.25">
      <c r="E2761" s="3" t="str">
        <f t="shared" si="43"/>
        <v/>
      </c>
    </row>
    <row r="2762" spans="5:5" x14ac:dyDescent="0.25">
      <c r="E2762" s="3" t="str">
        <f t="shared" si="43"/>
        <v/>
      </c>
    </row>
    <row r="2763" spans="5:5" x14ac:dyDescent="0.25">
      <c r="E2763" s="3" t="str">
        <f t="shared" si="43"/>
        <v/>
      </c>
    </row>
    <row r="2764" spans="5:5" x14ac:dyDescent="0.25">
      <c r="E2764" s="3" t="str">
        <f t="shared" si="43"/>
        <v/>
      </c>
    </row>
    <row r="2765" spans="5:5" x14ac:dyDescent="0.25">
      <c r="E2765" s="3" t="str">
        <f t="shared" si="43"/>
        <v/>
      </c>
    </row>
    <row r="2766" spans="5:5" x14ac:dyDescent="0.25">
      <c r="E2766" s="3" t="str">
        <f t="shared" si="43"/>
        <v/>
      </c>
    </row>
    <row r="2767" spans="5:5" x14ac:dyDescent="0.25">
      <c r="E2767" s="3" t="str">
        <f t="shared" si="43"/>
        <v/>
      </c>
    </row>
    <row r="2768" spans="5:5" x14ac:dyDescent="0.25">
      <c r="E2768" s="3" t="str">
        <f t="shared" si="43"/>
        <v/>
      </c>
    </row>
    <row r="2769" spans="5:5" x14ac:dyDescent="0.25">
      <c r="E2769" s="3" t="str">
        <f t="shared" si="43"/>
        <v/>
      </c>
    </row>
    <row r="2770" spans="5:5" x14ac:dyDescent="0.25">
      <c r="E2770" s="3" t="str">
        <f t="shared" si="43"/>
        <v/>
      </c>
    </row>
    <row r="2771" spans="5:5" x14ac:dyDescent="0.25">
      <c r="E2771" s="3" t="str">
        <f t="shared" si="43"/>
        <v/>
      </c>
    </row>
    <row r="2772" spans="5:5" x14ac:dyDescent="0.25">
      <c r="E2772" s="3" t="str">
        <f t="shared" si="43"/>
        <v/>
      </c>
    </row>
    <row r="2773" spans="5:5" x14ac:dyDescent="0.25">
      <c r="E2773" s="3" t="str">
        <f t="shared" si="43"/>
        <v/>
      </c>
    </row>
    <row r="2774" spans="5:5" x14ac:dyDescent="0.25">
      <c r="E2774" s="3" t="str">
        <f t="shared" si="43"/>
        <v/>
      </c>
    </row>
    <row r="2775" spans="5:5" x14ac:dyDescent="0.25">
      <c r="E2775" s="3" t="str">
        <f t="shared" si="43"/>
        <v/>
      </c>
    </row>
    <row r="2776" spans="5:5" x14ac:dyDescent="0.25">
      <c r="E2776" s="3" t="str">
        <f t="shared" si="43"/>
        <v/>
      </c>
    </row>
    <row r="2777" spans="5:5" x14ac:dyDescent="0.25">
      <c r="E2777" s="3" t="str">
        <f t="shared" si="43"/>
        <v/>
      </c>
    </row>
    <row r="2778" spans="5:5" x14ac:dyDescent="0.25">
      <c r="E2778" s="3" t="str">
        <f t="shared" si="43"/>
        <v/>
      </c>
    </row>
    <row r="2779" spans="5:5" x14ac:dyDescent="0.25">
      <c r="E2779" s="3" t="str">
        <f t="shared" si="43"/>
        <v/>
      </c>
    </row>
    <row r="2780" spans="5:5" x14ac:dyDescent="0.25">
      <c r="E2780" s="3" t="str">
        <f t="shared" si="43"/>
        <v/>
      </c>
    </row>
    <row r="2781" spans="5:5" x14ac:dyDescent="0.25">
      <c r="E2781" s="3" t="str">
        <f t="shared" si="43"/>
        <v/>
      </c>
    </row>
    <row r="2782" spans="5:5" x14ac:dyDescent="0.25">
      <c r="E2782" s="3" t="str">
        <f t="shared" si="43"/>
        <v/>
      </c>
    </row>
    <row r="2783" spans="5:5" x14ac:dyDescent="0.25">
      <c r="E2783" s="3" t="str">
        <f t="shared" si="43"/>
        <v/>
      </c>
    </row>
    <row r="2784" spans="5:5" x14ac:dyDescent="0.25">
      <c r="E2784" s="3" t="str">
        <f t="shared" si="43"/>
        <v/>
      </c>
    </row>
    <row r="2785" spans="5:5" x14ac:dyDescent="0.25">
      <c r="E2785" s="3" t="str">
        <f t="shared" si="43"/>
        <v/>
      </c>
    </row>
    <row r="2786" spans="5:5" x14ac:dyDescent="0.25">
      <c r="E2786" s="3" t="str">
        <f t="shared" si="43"/>
        <v/>
      </c>
    </row>
    <row r="2787" spans="5:5" x14ac:dyDescent="0.25">
      <c r="E2787" s="3" t="str">
        <f t="shared" si="43"/>
        <v/>
      </c>
    </row>
    <row r="2788" spans="5:5" x14ac:dyDescent="0.25">
      <c r="E2788" s="3" t="str">
        <f t="shared" si="43"/>
        <v/>
      </c>
    </row>
    <row r="2789" spans="5:5" x14ac:dyDescent="0.25">
      <c r="E2789" s="3" t="str">
        <f t="shared" si="43"/>
        <v/>
      </c>
    </row>
    <row r="2790" spans="5:5" x14ac:dyDescent="0.25">
      <c r="E2790" s="3" t="str">
        <f t="shared" si="43"/>
        <v/>
      </c>
    </row>
    <row r="2791" spans="5:5" x14ac:dyDescent="0.25">
      <c r="E2791" s="3" t="str">
        <f t="shared" si="43"/>
        <v/>
      </c>
    </row>
    <row r="2792" spans="5:5" x14ac:dyDescent="0.25">
      <c r="E2792" s="3" t="str">
        <f t="shared" si="43"/>
        <v/>
      </c>
    </row>
    <row r="2793" spans="5:5" x14ac:dyDescent="0.25">
      <c r="E2793" s="3" t="str">
        <f t="shared" si="43"/>
        <v/>
      </c>
    </row>
    <row r="2794" spans="5:5" x14ac:dyDescent="0.25">
      <c r="E2794" s="3" t="str">
        <f t="shared" si="43"/>
        <v/>
      </c>
    </row>
    <row r="2795" spans="5:5" x14ac:dyDescent="0.25">
      <c r="E2795" s="3" t="str">
        <f t="shared" si="43"/>
        <v/>
      </c>
    </row>
    <row r="2796" spans="5:5" x14ac:dyDescent="0.25">
      <c r="E2796" s="3" t="str">
        <f t="shared" si="43"/>
        <v/>
      </c>
    </row>
    <row r="2797" spans="5:5" x14ac:dyDescent="0.25">
      <c r="E2797" s="3" t="str">
        <f t="shared" si="43"/>
        <v/>
      </c>
    </row>
    <row r="2798" spans="5:5" x14ac:dyDescent="0.25">
      <c r="E2798" s="3" t="str">
        <f t="shared" si="43"/>
        <v/>
      </c>
    </row>
    <row r="2799" spans="5:5" x14ac:dyDescent="0.25">
      <c r="E2799" s="3" t="str">
        <f t="shared" si="43"/>
        <v/>
      </c>
    </row>
    <row r="2800" spans="5:5" x14ac:dyDescent="0.25">
      <c r="E2800" s="3" t="str">
        <f t="shared" si="43"/>
        <v/>
      </c>
    </row>
    <row r="2801" spans="5:5" x14ac:dyDescent="0.25">
      <c r="E2801" s="3" t="str">
        <f t="shared" si="43"/>
        <v/>
      </c>
    </row>
    <row r="2802" spans="5:5" x14ac:dyDescent="0.25">
      <c r="E2802" s="3" t="str">
        <f t="shared" si="43"/>
        <v/>
      </c>
    </row>
    <row r="2803" spans="5:5" x14ac:dyDescent="0.25">
      <c r="E2803" s="3" t="str">
        <f t="shared" si="43"/>
        <v/>
      </c>
    </row>
    <row r="2804" spans="5:5" x14ac:dyDescent="0.25">
      <c r="E2804" s="3" t="str">
        <f t="shared" si="43"/>
        <v/>
      </c>
    </row>
    <row r="2805" spans="5:5" x14ac:dyDescent="0.25">
      <c r="E2805" s="3" t="str">
        <f t="shared" si="43"/>
        <v/>
      </c>
    </row>
    <row r="2806" spans="5:5" x14ac:dyDescent="0.25">
      <c r="E2806" s="3" t="str">
        <f t="shared" si="43"/>
        <v/>
      </c>
    </row>
    <row r="2807" spans="5:5" x14ac:dyDescent="0.25">
      <c r="E2807" s="3" t="str">
        <f t="shared" si="43"/>
        <v/>
      </c>
    </row>
    <row r="2808" spans="5:5" x14ac:dyDescent="0.25">
      <c r="E2808" s="3" t="str">
        <f t="shared" si="43"/>
        <v/>
      </c>
    </row>
    <row r="2809" spans="5:5" x14ac:dyDescent="0.25">
      <c r="E2809" s="3" t="str">
        <f t="shared" si="43"/>
        <v/>
      </c>
    </row>
    <row r="2810" spans="5:5" x14ac:dyDescent="0.25">
      <c r="E2810" s="3" t="str">
        <f t="shared" si="43"/>
        <v/>
      </c>
    </row>
    <row r="2811" spans="5:5" x14ac:dyDescent="0.25">
      <c r="E2811" s="3" t="str">
        <f t="shared" si="43"/>
        <v/>
      </c>
    </row>
    <row r="2812" spans="5:5" x14ac:dyDescent="0.25">
      <c r="E2812" s="3" t="str">
        <f t="shared" si="43"/>
        <v/>
      </c>
    </row>
    <row r="2813" spans="5:5" x14ac:dyDescent="0.25">
      <c r="E2813" s="3" t="str">
        <f t="shared" si="43"/>
        <v/>
      </c>
    </row>
    <row r="2814" spans="5:5" x14ac:dyDescent="0.25">
      <c r="E2814" s="3" t="str">
        <f t="shared" si="43"/>
        <v/>
      </c>
    </row>
    <row r="2815" spans="5:5" x14ac:dyDescent="0.25">
      <c r="E2815" s="3" t="str">
        <f t="shared" si="43"/>
        <v/>
      </c>
    </row>
    <row r="2816" spans="5:5" x14ac:dyDescent="0.25">
      <c r="E2816" s="3" t="str">
        <f t="shared" si="43"/>
        <v/>
      </c>
    </row>
    <row r="2817" spans="5:5" x14ac:dyDescent="0.25">
      <c r="E2817" s="3" t="str">
        <f t="shared" si="43"/>
        <v/>
      </c>
    </row>
    <row r="2818" spans="5:5" x14ac:dyDescent="0.25">
      <c r="E2818" s="3" t="str">
        <f t="shared" si="43"/>
        <v/>
      </c>
    </row>
    <row r="2819" spans="5:5" x14ac:dyDescent="0.25">
      <c r="E2819" s="3" t="str">
        <f t="shared" ref="E2819:E2882" si="44">IF(COUNTIF(C$3:C$5000,C2819)&gt;1,"DUPLICADO","")</f>
        <v/>
      </c>
    </row>
    <row r="2820" spans="5:5" x14ac:dyDescent="0.25">
      <c r="E2820" s="3" t="str">
        <f t="shared" si="44"/>
        <v/>
      </c>
    </row>
    <row r="2821" spans="5:5" x14ac:dyDescent="0.25">
      <c r="E2821" s="3" t="str">
        <f t="shared" si="44"/>
        <v/>
      </c>
    </row>
    <row r="2822" spans="5:5" x14ac:dyDescent="0.25">
      <c r="E2822" s="3" t="str">
        <f t="shared" si="44"/>
        <v/>
      </c>
    </row>
    <row r="2823" spans="5:5" x14ac:dyDescent="0.25">
      <c r="E2823" s="3" t="str">
        <f t="shared" si="44"/>
        <v/>
      </c>
    </row>
    <row r="2824" spans="5:5" x14ac:dyDescent="0.25">
      <c r="E2824" s="3" t="str">
        <f t="shared" si="44"/>
        <v/>
      </c>
    </row>
    <row r="2825" spans="5:5" x14ac:dyDescent="0.25">
      <c r="E2825" s="3" t="str">
        <f t="shared" si="44"/>
        <v/>
      </c>
    </row>
    <row r="2826" spans="5:5" x14ac:dyDescent="0.25">
      <c r="E2826" s="3" t="str">
        <f t="shared" si="44"/>
        <v/>
      </c>
    </row>
    <row r="2827" spans="5:5" x14ac:dyDescent="0.25">
      <c r="E2827" s="3" t="str">
        <f t="shared" si="44"/>
        <v/>
      </c>
    </row>
    <row r="2828" spans="5:5" x14ac:dyDescent="0.25">
      <c r="E2828" s="3" t="str">
        <f t="shared" si="44"/>
        <v/>
      </c>
    </row>
    <row r="2829" spans="5:5" x14ac:dyDescent="0.25">
      <c r="E2829" s="3" t="str">
        <f t="shared" si="44"/>
        <v/>
      </c>
    </row>
    <row r="2830" spans="5:5" x14ac:dyDescent="0.25">
      <c r="E2830" s="3" t="str">
        <f t="shared" si="44"/>
        <v/>
      </c>
    </row>
    <row r="2831" spans="5:5" x14ac:dyDescent="0.25">
      <c r="E2831" s="3" t="str">
        <f t="shared" si="44"/>
        <v/>
      </c>
    </row>
    <row r="2832" spans="5:5" x14ac:dyDescent="0.25">
      <c r="E2832" s="3" t="str">
        <f t="shared" si="44"/>
        <v/>
      </c>
    </row>
    <row r="2833" spans="5:5" x14ac:dyDescent="0.25">
      <c r="E2833" s="3" t="str">
        <f t="shared" si="44"/>
        <v/>
      </c>
    </row>
    <row r="2834" spans="5:5" x14ac:dyDescent="0.25">
      <c r="E2834" s="3" t="str">
        <f t="shared" si="44"/>
        <v/>
      </c>
    </row>
    <row r="2835" spans="5:5" x14ac:dyDescent="0.25">
      <c r="E2835" s="3" t="str">
        <f t="shared" si="44"/>
        <v/>
      </c>
    </row>
    <row r="2836" spans="5:5" x14ac:dyDescent="0.25">
      <c r="E2836" s="3" t="str">
        <f t="shared" si="44"/>
        <v/>
      </c>
    </row>
    <row r="2837" spans="5:5" x14ac:dyDescent="0.25">
      <c r="E2837" s="3" t="str">
        <f t="shared" si="44"/>
        <v/>
      </c>
    </row>
    <row r="2838" spans="5:5" x14ac:dyDescent="0.25">
      <c r="E2838" s="3" t="str">
        <f t="shared" si="44"/>
        <v/>
      </c>
    </row>
    <row r="2839" spans="5:5" x14ac:dyDescent="0.25">
      <c r="E2839" s="3" t="str">
        <f t="shared" si="44"/>
        <v/>
      </c>
    </row>
    <row r="2840" spans="5:5" x14ac:dyDescent="0.25">
      <c r="E2840" s="3" t="str">
        <f t="shared" si="44"/>
        <v/>
      </c>
    </row>
    <row r="2841" spans="5:5" x14ac:dyDescent="0.25">
      <c r="E2841" s="3" t="str">
        <f t="shared" si="44"/>
        <v/>
      </c>
    </row>
    <row r="2842" spans="5:5" x14ac:dyDescent="0.25">
      <c r="E2842" s="3" t="str">
        <f t="shared" si="44"/>
        <v/>
      </c>
    </row>
    <row r="2843" spans="5:5" x14ac:dyDescent="0.25">
      <c r="E2843" s="3" t="str">
        <f t="shared" si="44"/>
        <v/>
      </c>
    </row>
    <row r="2844" spans="5:5" x14ac:dyDescent="0.25">
      <c r="E2844" s="3" t="str">
        <f t="shared" si="44"/>
        <v/>
      </c>
    </row>
    <row r="2845" spans="5:5" x14ac:dyDescent="0.25">
      <c r="E2845" s="3" t="str">
        <f t="shared" si="44"/>
        <v/>
      </c>
    </row>
    <row r="2846" spans="5:5" x14ac:dyDescent="0.25">
      <c r="E2846" s="3" t="str">
        <f t="shared" si="44"/>
        <v/>
      </c>
    </row>
    <row r="2847" spans="5:5" x14ac:dyDescent="0.25">
      <c r="E2847" s="3" t="str">
        <f t="shared" si="44"/>
        <v/>
      </c>
    </row>
    <row r="2848" spans="5:5" x14ac:dyDescent="0.25">
      <c r="E2848" s="3" t="str">
        <f t="shared" si="44"/>
        <v/>
      </c>
    </row>
    <row r="2849" spans="5:5" x14ac:dyDescent="0.25">
      <c r="E2849" s="3" t="str">
        <f t="shared" si="44"/>
        <v/>
      </c>
    </row>
    <row r="2850" spans="5:5" x14ac:dyDescent="0.25">
      <c r="E2850" s="3" t="str">
        <f t="shared" si="44"/>
        <v/>
      </c>
    </row>
    <row r="2851" spans="5:5" x14ac:dyDescent="0.25">
      <c r="E2851" s="3" t="str">
        <f t="shared" si="44"/>
        <v/>
      </c>
    </row>
    <row r="2852" spans="5:5" x14ac:dyDescent="0.25">
      <c r="E2852" s="3" t="str">
        <f t="shared" si="44"/>
        <v/>
      </c>
    </row>
    <row r="2853" spans="5:5" x14ac:dyDescent="0.25">
      <c r="E2853" s="3" t="str">
        <f t="shared" si="44"/>
        <v/>
      </c>
    </row>
    <row r="2854" spans="5:5" x14ac:dyDescent="0.25">
      <c r="E2854" s="3" t="str">
        <f t="shared" si="44"/>
        <v/>
      </c>
    </row>
    <row r="2855" spans="5:5" x14ac:dyDescent="0.25">
      <c r="E2855" s="3" t="str">
        <f t="shared" si="44"/>
        <v/>
      </c>
    </row>
    <row r="2856" spans="5:5" x14ac:dyDescent="0.25">
      <c r="E2856" s="3" t="str">
        <f t="shared" si="44"/>
        <v/>
      </c>
    </row>
    <row r="2857" spans="5:5" x14ac:dyDescent="0.25">
      <c r="E2857" s="3" t="str">
        <f t="shared" si="44"/>
        <v/>
      </c>
    </row>
    <row r="2858" spans="5:5" x14ac:dyDescent="0.25">
      <c r="E2858" s="3" t="str">
        <f t="shared" si="44"/>
        <v/>
      </c>
    </row>
    <row r="2859" spans="5:5" x14ac:dyDescent="0.25">
      <c r="E2859" s="3" t="str">
        <f t="shared" si="44"/>
        <v/>
      </c>
    </row>
    <row r="2860" spans="5:5" x14ac:dyDescent="0.25">
      <c r="E2860" s="3" t="str">
        <f t="shared" si="44"/>
        <v/>
      </c>
    </row>
    <row r="2861" spans="5:5" x14ac:dyDescent="0.25">
      <c r="E2861" s="3" t="str">
        <f t="shared" si="44"/>
        <v/>
      </c>
    </row>
    <row r="2862" spans="5:5" x14ac:dyDescent="0.25">
      <c r="E2862" s="3" t="str">
        <f t="shared" si="44"/>
        <v/>
      </c>
    </row>
    <row r="2863" spans="5:5" x14ac:dyDescent="0.25">
      <c r="E2863" s="3" t="str">
        <f t="shared" si="44"/>
        <v/>
      </c>
    </row>
    <row r="2864" spans="5:5" x14ac:dyDescent="0.25">
      <c r="E2864" s="3" t="str">
        <f t="shared" si="44"/>
        <v/>
      </c>
    </row>
    <row r="2865" spans="5:5" x14ac:dyDescent="0.25">
      <c r="E2865" s="3" t="str">
        <f t="shared" si="44"/>
        <v/>
      </c>
    </row>
    <row r="2866" spans="5:5" x14ac:dyDescent="0.25">
      <c r="E2866" s="3" t="str">
        <f t="shared" si="44"/>
        <v/>
      </c>
    </row>
    <row r="2867" spans="5:5" x14ac:dyDescent="0.25">
      <c r="E2867" s="3" t="str">
        <f t="shared" si="44"/>
        <v/>
      </c>
    </row>
    <row r="2868" spans="5:5" x14ac:dyDescent="0.25">
      <c r="E2868" s="3" t="str">
        <f t="shared" si="44"/>
        <v/>
      </c>
    </row>
    <row r="2869" spans="5:5" x14ac:dyDescent="0.25">
      <c r="E2869" s="3" t="str">
        <f t="shared" si="44"/>
        <v/>
      </c>
    </row>
    <row r="2870" spans="5:5" x14ac:dyDescent="0.25">
      <c r="E2870" s="3" t="str">
        <f t="shared" si="44"/>
        <v/>
      </c>
    </row>
    <row r="2871" spans="5:5" x14ac:dyDescent="0.25">
      <c r="E2871" s="3" t="str">
        <f t="shared" si="44"/>
        <v/>
      </c>
    </row>
    <row r="2872" spans="5:5" x14ac:dyDescent="0.25">
      <c r="E2872" s="3" t="str">
        <f t="shared" si="44"/>
        <v/>
      </c>
    </row>
    <row r="2873" spans="5:5" x14ac:dyDescent="0.25">
      <c r="E2873" s="3" t="str">
        <f t="shared" si="44"/>
        <v/>
      </c>
    </row>
    <row r="2874" spans="5:5" x14ac:dyDescent="0.25">
      <c r="E2874" s="3" t="str">
        <f t="shared" si="44"/>
        <v/>
      </c>
    </row>
    <row r="2875" spans="5:5" x14ac:dyDescent="0.25">
      <c r="E2875" s="3" t="str">
        <f t="shared" si="44"/>
        <v/>
      </c>
    </row>
    <row r="2876" spans="5:5" x14ac:dyDescent="0.25">
      <c r="E2876" s="3" t="str">
        <f t="shared" si="44"/>
        <v/>
      </c>
    </row>
    <row r="2877" spans="5:5" x14ac:dyDescent="0.25">
      <c r="E2877" s="3" t="str">
        <f t="shared" si="44"/>
        <v/>
      </c>
    </row>
    <row r="2878" spans="5:5" x14ac:dyDescent="0.25">
      <c r="E2878" s="3" t="str">
        <f t="shared" si="44"/>
        <v/>
      </c>
    </row>
    <row r="2879" spans="5:5" x14ac:dyDescent="0.25">
      <c r="E2879" s="3" t="str">
        <f t="shared" si="44"/>
        <v/>
      </c>
    </row>
    <row r="2880" spans="5:5" x14ac:dyDescent="0.25">
      <c r="E2880" s="3" t="str">
        <f t="shared" si="44"/>
        <v/>
      </c>
    </row>
    <row r="2881" spans="5:5" x14ac:dyDescent="0.25">
      <c r="E2881" s="3" t="str">
        <f t="shared" si="44"/>
        <v/>
      </c>
    </row>
    <row r="2882" spans="5:5" x14ac:dyDescent="0.25">
      <c r="E2882" s="3" t="str">
        <f t="shared" si="44"/>
        <v/>
      </c>
    </row>
    <row r="2883" spans="5:5" x14ac:dyDescent="0.25">
      <c r="E2883" s="3" t="str">
        <f t="shared" ref="E2883:E2946" si="45">IF(COUNTIF(C$3:C$5000,C2883)&gt;1,"DUPLICADO","")</f>
        <v/>
      </c>
    </row>
    <row r="2884" spans="5:5" x14ac:dyDescent="0.25">
      <c r="E2884" s="3" t="str">
        <f t="shared" si="45"/>
        <v/>
      </c>
    </row>
    <row r="2885" spans="5:5" x14ac:dyDescent="0.25">
      <c r="E2885" s="3" t="str">
        <f t="shared" si="45"/>
        <v/>
      </c>
    </row>
    <row r="2886" spans="5:5" x14ac:dyDescent="0.25">
      <c r="E2886" s="3" t="str">
        <f t="shared" si="45"/>
        <v/>
      </c>
    </row>
    <row r="2887" spans="5:5" x14ac:dyDescent="0.25">
      <c r="E2887" s="3" t="str">
        <f t="shared" si="45"/>
        <v/>
      </c>
    </row>
    <row r="2888" spans="5:5" x14ac:dyDescent="0.25">
      <c r="E2888" s="3" t="str">
        <f t="shared" si="45"/>
        <v/>
      </c>
    </row>
    <row r="2889" spans="5:5" x14ac:dyDescent="0.25">
      <c r="E2889" s="3" t="str">
        <f t="shared" si="45"/>
        <v/>
      </c>
    </row>
    <row r="2890" spans="5:5" x14ac:dyDescent="0.25">
      <c r="E2890" s="3" t="str">
        <f t="shared" si="45"/>
        <v/>
      </c>
    </row>
    <row r="2891" spans="5:5" x14ac:dyDescent="0.25">
      <c r="E2891" s="3" t="str">
        <f t="shared" si="45"/>
        <v/>
      </c>
    </row>
    <row r="2892" spans="5:5" x14ac:dyDescent="0.25">
      <c r="E2892" s="3" t="str">
        <f t="shared" si="45"/>
        <v/>
      </c>
    </row>
    <row r="2893" spans="5:5" x14ac:dyDescent="0.25">
      <c r="E2893" s="3" t="str">
        <f t="shared" si="45"/>
        <v/>
      </c>
    </row>
    <row r="2894" spans="5:5" x14ac:dyDescent="0.25">
      <c r="E2894" s="3" t="str">
        <f t="shared" si="45"/>
        <v/>
      </c>
    </row>
    <row r="2895" spans="5:5" x14ac:dyDescent="0.25">
      <c r="E2895" s="3" t="str">
        <f t="shared" si="45"/>
        <v/>
      </c>
    </row>
    <row r="2896" spans="5:5" x14ac:dyDescent="0.25">
      <c r="E2896" s="3" t="str">
        <f t="shared" si="45"/>
        <v/>
      </c>
    </row>
    <row r="2897" spans="5:5" x14ac:dyDescent="0.25">
      <c r="E2897" s="3" t="str">
        <f t="shared" si="45"/>
        <v/>
      </c>
    </row>
    <row r="2898" spans="5:5" x14ac:dyDescent="0.25">
      <c r="E2898" s="3" t="str">
        <f t="shared" si="45"/>
        <v/>
      </c>
    </row>
    <row r="2899" spans="5:5" x14ac:dyDescent="0.25">
      <c r="E2899" s="3" t="str">
        <f t="shared" si="45"/>
        <v/>
      </c>
    </row>
    <row r="2900" spans="5:5" x14ac:dyDescent="0.25">
      <c r="E2900" s="3" t="str">
        <f t="shared" si="45"/>
        <v/>
      </c>
    </row>
    <row r="2901" spans="5:5" x14ac:dyDescent="0.25">
      <c r="E2901" s="3" t="str">
        <f t="shared" si="45"/>
        <v/>
      </c>
    </row>
    <row r="2902" spans="5:5" x14ac:dyDescent="0.25">
      <c r="E2902" s="3" t="str">
        <f t="shared" si="45"/>
        <v/>
      </c>
    </row>
    <row r="2903" spans="5:5" x14ac:dyDescent="0.25">
      <c r="E2903" s="3" t="str">
        <f t="shared" si="45"/>
        <v/>
      </c>
    </row>
    <row r="2904" spans="5:5" x14ac:dyDescent="0.25">
      <c r="E2904" s="3" t="str">
        <f t="shared" si="45"/>
        <v/>
      </c>
    </row>
    <row r="2905" spans="5:5" x14ac:dyDescent="0.25">
      <c r="E2905" s="3" t="str">
        <f t="shared" si="45"/>
        <v/>
      </c>
    </row>
    <row r="2906" spans="5:5" x14ac:dyDescent="0.25">
      <c r="E2906" s="3" t="str">
        <f t="shared" si="45"/>
        <v/>
      </c>
    </row>
    <row r="2907" spans="5:5" x14ac:dyDescent="0.25">
      <c r="E2907" s="3" t="str">
        <f t="shared" si="45"/>
        <v/>
      </c>
    </row>
    <row r="2908" spans="5:5" x14ac:dyDescent="0.25">
      <c r="E2908" s="3" t="str">
        <f t="shared" si="45"/>
        <v/>
      </c>
    </row>
    <row r="2909" spans="5:5" x14ac:dyDescent="0.25">
      <c r="E2909" s="3" t="str">
        <f t="shared" si="45"/>
        <v/>
      </c>
    </row>
    <row r="2910" spans="5:5" x14ac:dyDescent="0.25">
      <c r="E2910" s="3" t="str">
        <f t="shared" si="45"/>
        <v/>
      </c>
    </row>
    <row r="2911" spans="5:5" x14ac:dyDescent="0.25">
      <c r="E2911" s="3" t="str">
        <f t="shared" si="45"/>
        <v/>
      </c>
    </row>
    <row r="2912" spans="5:5" x14ac:dyDescent="0.25">
      <c r="E2912" s="3" t="str">
        <f t="shared" si="45"/>
        <v/>
      </c>
    </row>
    <row r="2913" spans="5:5" x14ac:dyDescent="0.25">
      <c r="E2913" s="3" t="str">
        <f t="shared" si="45"/>
        <v/>
      </c>
    </row>
    <row r="2914" spans="5:5" x14ac:dyDescent="0.25">
      <c r="E2914" s="3" t="str">
        <f t="shared" si="45"/>
        <v/>
      </c>
    </row>
    <row r="2915" spans="5:5" x14ac:dyDescent="0.25">
      <c r="E2915" s="3" t="str">
        <f t="shared" si="45"/>
        <v/>
      </c>
    </row>
    <row r="2916" spans="5:5" x14ac:dyDescent="0.25">
      <c r="E2916" s="3" t="str">
        <f t="shared" si="45"/>
        <v/>
      </c>
    </row>
    <row r="2917" spans="5:5" x14ac:dyDescent="0.25">
      <c r="E2917" s="3" t="str">
        <f t="shared" si="45"/>
        <v/>
      </c>
    </row>
    <row r="2918" spans="5:5" x14ac:dyDescent="0.25">
      <c r="E2918" s="3" t="str">
        <f t="shared" si="45"/>
        <v/>
      </c>
    </row>
    <row r="2919" spans="5:5" x14ac:dyDescent="0.25">
      <c r="E2919" s="3" t="str">
        <f t="shared" si="45"/>
        <v/>
      </c>
    </row>
    <row r="2920" spans="5:5" x14ac:dyDescent="0.25">
      <c r="E2920" s="3" t="str">
        <f t="shared" si="45"/>
        <v/>
      </c>
    </row>
    <row r="2921" spans="5:5" x14ac:dyDescent="0.25">
      <c r="E2921" s="3" t="str">
        <f t="shared" si="45"/>
        <v/>
      </c>
    </row>
    <row r="2922" spans="5:5" x14ac:dyDescent="0.25">
      <c r="E2922" s="3" t="str">
        <f t="shared" si="45"/>
        <v/>
      </c>
    </row>
    <row r="2923" spans="5:5" x14ac:dyDescent="0.25">
      <c r="E2923" s="3" t="str">
        <f t="shared" si="45"/>
        <v/>
      </c>
    </row>
    <row r="2924" spans="5:5" x14ac:dyDescent="0.25">
      <c r="E2924" s="3" t="str">
        <f t="shared" si="45"/>
        <v/>
      </c>
    </row>
    <row r="2925" spans="5:5" x14ac:dyDescent="0.25">
      <c r="E2925" s="3" t="str">
        <f t="shared" si="45"/>
        <v/>
      </c>
    </row>
    <row r="2926" spans="5:5" x14ac:dyDescent="0.25">
      <c r="E2926" s="3" t="str">
        <f t="shared" si="45"/>
        <v/>
      </c>
    </row>
    <row r="2927" spans="5:5" x14ac:dyDescent="0.25">
      <c r="E2927" s="3" t="str">
        <f t="shared" si="45"/>
        <v/>
      </c>
    </row>
    <row r="2928" spans="5:5" x14ac:dyDescent="0.25">
      <c r="E2928" s="3" t="str">
        <f t="shared" si="45"/>
        <v/>
      </c>
    </row>
    <row r="2929" spans="5:5" x14ac:dyDescent="0.25">
      <c r="E2929" s="3" t="str">
        <f t="shared" si="45"/>
        <v/>
      </c>
    </row>
    <row r="2930" spans="5:5" x14ac:dyDescent="0.25">
      <c r="E2930" s="3" t="str">
        <f t="shared" si="45"/>
        <v/>
      </c>
    </row>
    <row r="2931" spans="5:5" x14ac:dyDescent="0.25">
      <c r="E2931" s="3" t="str">
        <f t="shared" si="45"/>
        <v/>
      </c>
    </row>
    <row r="2932" spans="5:5" x14ac:dyDescent="0.25">
      <c r="E2932" s="3" t="str">
        <f t="shared" si="45"/>
        <v/>
      </c>
    </row>
    <row r="2933" spans="5:5" x14ac:dyDescent="0.25">
      <c r="E2933" s="3" t="str">
        <f t="shared" si="45"/>
        <v/>
      </c>
    </row>
    <row r="2934" spans="5:5" x14ac:dyDescent="0.25">
      <c r="E2934" s="3" t="str">
        <f t="shared" si="45"/>
        <v/>
      </c>
    </row>
    <row r="2935" spans="5:5" x14ac:dyDescent="0.25">
      <c r="E2935" s="3" t="str">
        <f t="shared" si="45"/>
        <v/>
      </c>
    </row>
    <row r="2936" spans="5:5" x14ac:dyDescent="0.25">
      <c r="E2936" s="3" t="str">
        <f t="shared" si="45"/>
        <v/>
      </c>
    </row>
    <row r="2937" spans="5:5" x14ac:dyDescent="0.25">
      <c r="E2937" s="3" t="str">
        <f t="shared" si="45"/>
        <v/>
      </c>
    </row>
    <row r="2938" spans="5:5" x14ac:dyDescent="0.25">
      <c r="E2938" s="3" t="str">
        <f t="shared" si="45"/>
        <v/>
      </c>
    </row>
    <row r="2939" spans="5:5" x14ac:dyDescent="0.25">
      <c r="E2939" s="3" t="str">
        <f t="shared" si="45"/>
        <v/>
      </c>
    </row>
    <row r="2940" spans="5:5" x14ac:dyDescent="0.25">
      <c r="E2940" s="3" t="str">
        <f t="shared" si="45"/>
        <v/>
      </c>
    </row>
    <row r="2941" spans="5:5" x14ac:dyDescent="0.25">
      <c r="E2941" s="3" t="str">
        <f t="shared" si="45"/>
        <v/>
      </c>
    </row>
    <row r="2942" spans="5:5" x14ac:dyDescent="0.25">
      <c r="E2942" s="3" t="str">
        <f t="shared" si="45"/>
        <v/>
      </c>
    </row>
    <row r="2943" spans="5:5" x14ac:dyDescent="0.25">
      <c r="E2943" s="3" t="str">
        <f t="shared" si="45"/>
        <v/>
      </c>
    </row>
    <row r="2944" spans="5:5" x14ac:dyDescent="0.25">
      <c r="E2944" s="3" t="str">
        <f t="shared" si="45"/>
        <v/>
      </c>
    </row>
    <row r="2945" spans="5:5" x14ac:dyDescent="0.25">
      <c r="E2945" s="3" t="str">
        <f t="shared" si="45"/>
        <v/>
      </c>
    </row>
    <row r="2946" spans="5:5" x14ac:dyDescent="0.25">
      <c r="E2946" s="3" t="str">
        <f t="shared" si="45"/>
        <v/>
      </c>
    </row>
    <row r="2947" spans="5:5" x14ac:dyDescent="0.25">
      <c r="E2947" s="3" t="str">
        <f t="shared" ref="E2947:E3010" si="46">IF(COUNTIF(C$3:C$5000,C2947)&gt;1,"DUPLICADO","")</f>
        <v/>
      </c>
    </row>
    <row r="2948" spans="5:5" x14ac:dyDescent="0.25">
      <c r="E2948" s="3" t="str">
        <f t="shared" si="46"/>
        <v/>
      </c>
    </row>
    <row r="2949" spans="5:5" x14ac:dyDescent="0.25">
      <c r="E2949" s="3" t="str">
        <f t="shared" si="46"/>
        <v/>
      </c>
    </row>
    <row r="2950" spans="5:5" x14ac:dyDescent="0.25">
      <c r="E2950" s="3" t="str">
        <f t="shared" si="46"/>
        <v/>
      </c>
    </row>
    <row r="2951" spans="5:5" x14ac:dyDescent="0.25">
      <c r="E2951" s="3" t="str">
        <f t="shared" si="46"/>
        <v/>
      </c>
    </row>
    <row r="2952" spans="5:5" x14ac:dyDescent="0.25">
      <c r="E2952" s="3" t="str">
        <f t="shared" si="46"/>
        <v/>
      </c>
    </row>
    <row r="2953" spans="5:5" x14ac:dyDescent="0.25">
      <c r="E2953" s="3" t="str">
        <f t="shared" si="46"/>
        <v/>
      </c>
    </row>
    <row r="2954" spans="5:5" x14ac:dyDescent="0.25">
      <c r="E2954" s="3" t="str">
        <f t="shared" si="46"/>
        <v/>
      </c>
    </row>
    <row r="2955" spans="5:5" x14ac:dyDescent="0.25">
      <c r="E2955" s="3" t="str">
        <f t="shared" si="46"/>
        <v/>
      </c>
    </row>
    <row r="2956" spans="5:5" x14ac:dyDescent="0.25">
      <c r="E2956" s="3" t="str">
        <f t="shared" si="46"/>
        <v/>
      </c>
    </row>
    <row r="2957" spans="5:5" x14ac:dyDescent="0.25">
      <c r="E2957" s="3" t="str">
        <f t="shared" si="46"/>
        <v/>
      </c>
    </row>
    <row r="2958" spans="5:5" x14ac:dyDescent="0.25">
      <c r="E2958" s="3" t="str">
        <f t="shared" si="46"/>
        <v/>
      </c>
    </row>
    <row r="2959" spans="5:5" x14ac:dyDescent="0.25">
      <c r="E2959" s="3" t="str">
        <f t="shared" si="46"/>
        <v/>
      </c>
    </row>
    <row r="2960" spans="5:5" x14ac:dyDescent="0.25">
      <c r="E2960" s="3" t="str">
        <f t="shared" si="46"/>
        <v/>
      </c>
    </row>
    <row r="2961" spans="5:5" x14ac:dyDescent="0.25">
      <c r="E2961" s="3" t="str">
        <f t="shared" si="46"/>
        <v/>
      </c>
    </row>
    <row r="2962" spans="5:5" x14ac:dyDescent="0.25">
      <c r="E2962" s="3" t="str">
        <f t="shared" si="46"/>
        <v/>
      </c>
    </row>
    <row r="2963" spans="5:5" x14ac:dyDescent="0.25">
      <c r="E2963" s="3" t="str">
        <f t="shared" si="46"/>
        <v/>
      </c>
    </row>
    <row r="2964" spans="5:5" x14ac:dyDescent="0.25">
      <c r="E2964" s="3" t="str">
        <f t="shared" si="46"/>
        <v/>
      </c>
    </row>
    <row r="2965" spans="5:5" x14ac:dyDescent="0.25">
      <c r="E2965" s="3" t="str">
        <f t="shared" si="46"/>
        <v/>
      </c>
    </row>
    <row r="2966" spans="5:5" x14ac:dyDescent="0.25">
      <c r="E2966" s="3" t="str">
        <f t="shared" si="46"/>
        <v/>
      </c>
    </row>
    <row r="2967" spans="5:5" x14ac:dyDescent="0.25">
      <c r="E2967" s="3" t="str">
        <f t="shared" si="46"/>
        <v/>
      </c>
    </row>
    <row r="2968" spans="5:5" x14ac:dyDescent="0.25">
      <c r="E2968" s="3" t="str">
        <f t="shared" si="46"/>
        <v/>
      </c>
    </row>
    <row r="2969" spans="5:5" x14ac:dyDescent="0.25">
      <c r="E2969" s="3" t="str">
        <f t="shared" si="46"/>
        <v/>
      </c>
    </row>
    <row r="2970" spans="5:5" x14ac:dyDescent="0.25">
      <c r="E2970" s="3" t="str">
        <f t="shared" si="46"/>
        <v/>
      </c>
    </row>
    <row r="2971" spans="5:5" x14ac:dyDescent="0.25">
      <c r="E2971" s="3" t="str">
        <f t="shared" si="46"/>
        <v/>
      </c>
    </row>
    <row r="2972" spans="5:5" x14ac:dyDescent="0.25">
      <c r="E2972" s="3" t="str">
        <f t="shared" si="46"/>
        <v/>
      </c>
    </row>
    <row r="2973" spans="5:5" x14ac:dyDescent="0.25">
      <c r="E2973" s="3" t="str">
        <f t="shared" si="46"/>
        <v/>
      </c>
    </row>
    <row r="2974" spans="5:5" x14ac:dyDescent="0.25">
      <c r="E2974" s="3" t="str">
        <f t="shared" si="46"/>
        <v/>
      </c>
    </row>
    <row r="2975" spans="5:5" x14ac:dyDescent="0.25">
      <c r="E2975" s="3" t="str">
        <f t="shared" si="46"/>
        <v/>
      </c>
    </row>
    <row r="2976" spans="5:5" x14ac:dyDescent="0.25">
      <c r="E2976" s="3" t="str">
        <f t="shared" si="46"/>
        <v/>
      </c>
    </row>
    <row r="2977" spans="5:5" x14ac:dyDescent="0.25">
      <c r="E2977" s="3" t="str">
        <f t="shared" si="46"/>
        <v/>
      </c>
    </row>
    <row r="2978" spans="5:5" x14ac:dyDescent="0.25">
      <c r="E2978" s="3" t="str">
        <f t="shared" si="46"/>
        <v/>
      </c>
    </row>
    <row r="2979" spans="5:5" x14ac:dyDescent="0.25">
      <c r="E2979" s="3" t="str">
        <f t="shared" si="46"/>
        <v/>
      </c>
    </row>
    <row r="2980" spans="5:5" x14ac:dyDescent="0.25">
      <c r="E2980" s="3" t="str">
        <f t="shared" si="46"/>
        <v/>
      </c>
    </row>
    <row r="2981" spans="5:5" x14ac:dyDescent="0.25">
      <c r="E2981" s="3" t="str">
        <f t="shared" si="46"/>
        <v/>
      </c>
    </row>
    <row r="2982" spans="5:5" x14ac:dyDescent="0.25">
      <c r="E2982" s="3" t="str">
        <f t="shared" si="46"/>
        <v/>
      </c>
    </row>
    <row r="2983" spans="5:5" x14ac:dyDescent="0.25">
      <c r="E2983" s="3" t="str">
        <f t="shared" si="46"/>
        <v/>
      </c>
    </row>
    <row r="2984" spans="5:5" x14ac:dyDescent="0.25">
      <c r="E2984" s="3" t="str">
        <f t="shared" si="46"/>
        <v/>
      </c>
    </row>
    <row r="2985" spans="5:5" x14ac:dyDescent="0.25">
      <c r="E2985" s="3" t="str">
        <f t="shared" si="46"/>
        <v/>
      </c>
    </row>
    <row r="2986" spans="5:5" x14ac:dyDescent="0.25">
      <c r="E2986" s="3" t="str">
        <f t="shared" si="46"/>
        <v/>
      </c>
    </row>
    <row r="2987" spans="5:5" x14ac:dyDescent="0.25">
      <c r="E2987" s="3" t="str">
        <f t="shared" si="46"/>
        <v/>
      </c>
    </row>
    <row r="2988" spans="5:5" x14ac:dyDescent="0.25">
      <c r="E2988" s="3" t="str">
        <f t="shared" si="46"/>
        <v/>
      </c>
    </row>
    <row r="2989" spans="5:5" x14ac:dyDescent="0.25">
      <c r="E2989" s="3" t="str">
        <f t="shared" si="46"/>
        <v/>
      </c>
    </row>
    <row r="2990" spans="5:5" x14ac:dyDescent="0.25">
      <c r="E2990" s="3" t="str">
        <f t="shared" si="46"/>
        <v/>
      </c>
    </row>
    <row r="2991" spans="5:5" x14ac:dyDescent="0.25">
      <c r="E2991" s="3" t="str">
        <f t="shared" si="46"/>
        <v/>
      </c>
    </row>
    <row r="2992" spans="5:5" x14ac:dyDescent="0.25">
      <c r="E2992" s="3" t="str">
        <f t="shared" si="46"/>
        <v/>
      </c>
    </row>
    <row r="2993" spans="5:5" x14ac:dyDescent="0.25">
      <c r="E2993" s="3" t="str">
        <f t="shared" si="46"/>
        <v/>
      </c>
    </row>
    <row r="2994" spans="5:5" x14ac:dyDescent="0.25">
      <c r="E2994" s="3" t="str">
        <f t="shared" si="46"/>
        <v/>
      </c>
    </row>
    <row r="2995" spans="5:5" x14ac:dyDescent="0.25">
      <c r="E2995" s="3" t="str">
        <f t="shared" si="46"/>
        <v/>
      </c>
    </row>
    <row r="2996" spans="5:5" x14ac:dyDescent="0.25">
      <c r="E2996" s="3" t="str">
        <f t="shared" si="46"/>
        <v/>
      </c>
    </row>
    <row r="2997" spans="5:5" x14ac:dyDescent="0.25">
      <c r="E2997" s="3" t="str">
        <f t="shared" si="46"/>
        <v/>
      </c>
    </row>
    <row r="2998" spans="5:5" x14ac:dyDescent="0.25">
      <c r="E2998" s="3" t="str">
        <f t="shared" si="46"/>
        <v/>
      </c>
    </row>
    <row r="2999" spans="5:5" x14ac:dyDescent="0.25">
      <c r="E2999" s="3" t="str">
        <f t="shared" si="46"/>
        <v/>
      </c>
    </row>
    <row r="3000" spans="5:5" x14ac:dyDescent="0.25">
      <c r="E3000" s="3" t="str">
        <f t="shared" si="46"/>
        <v/>
      </c>
    </row>
    <row r="3001" spans="5:5" x14ac:dyDescent="0.25">
      <c r="E3001" s="3" t="str">
        <f t="shared" si="46"/>
        <v/>
      </c>
    </row>
    <row r="3002" spans="5:5" x14ac:dyDescent="0.25">
      <c r="E3002" s="3" t="str">
        <f t="shared" si="46"/>
        <v/>
      </c>
    </row>
    <row r="3003" spans="5:5" x14ac:dyDescent="0.25">
      <c r="E3003" s="3" t="str">
        <f t="shared" si="46"/>
        <v/>
      </c>
    </row>
    <row r="3004" spans="5:5" x14ac:dyDescent="0.25">
      <c r="E3004" s="3" t="str">
        <f t="shared" si="46"/>
        <v/>
      </c>
    </row>
    <row r="3005" spans="5:5" x14ac:dyDescent="0.25">
      <c r="E3005" s="3" t="str">
        <f t="shared" si="46"/>
        <v/>
      </c>
    </row>
    <row r="3006" spans="5:5" x14ac:dyDescent="0.25">
      <c r="E3006" s="3" t="str">
        <f t="shared" si="46"/>
        <v/>
      </c>
    </row>
    <row r="3007" spans="5:5" x14ac:dyDescent="0.25">
      <c r="E3007" s="3" t="str">
        <f t="shared" si="46"/>
        <v/>
      </c>
    </row>
    <row r="3008" spans="5:5" x14ac:dyDescent="0.25">
      <c r="E3008" s="3" t="str">
        <f t="shared" si="46"/>
        <v/>
      </c>
    </row>
    <row r="3009" spans="5:5" x14ac:dyDescent="0.25">
      <c r="E3009" s="3" t="str">
        <f t="shared" si="46"/>
        <v/>
      </c>
    </row>
    <row r="3010" spans="5:5" x14ac:dyDescent="0.25">
      <c r="E3010" s="3" t="str">
        <f t="shared" si="46"/>
        <v/>
      </c>
    </row>
    <row r="3011" spans="5:5" x14ac:dyDescent="0.25">
      <c r="E3011" s="3" t="str">
        <f t="shared" ref="E3011:E3074" si="47">IF(COUNTIF(C$3:C$5000,C3011)&gt;1,"DUPLICADO","")</f>
        <v/>
      </c>
    </row>
    <row r="3012" spans="5:5" x14ac:dyDescent="0.25">
      <c r="E3012" s="3" t="str">
        <f t="shared" si="47"/>
        <v/>
      </c>
    </row>
    <row r="3013" spans="5:5" x14ac:dyDescent="0.25">
      <c r="E3013" s="3" t="str">
        <f t="shared" si="47"/>
        <v/>
      </c>
    </row>
    <row r="3014" spans="5:5" x14ac:dyDescent="0.25">
      <c r="E3014" s="3" t="str">
        <f t="shared" si="47"/>
        <v/>
      </c>
    </row>
    <row r="3015" spans="5:5" x14ac:dyDescent="0.25">
      <c r="E3015" s="3" t="str">
        <f t="shared" si="47"/>
        <v/>
      </c>
    </row>
    <row r="3016" spans="5:5" x14ac:dyDescent="0.25">
      <c r="E3016" s="3" t="str">
        <f t="shared" si="47"/>
        <v/>
      </c>
    </row>
    <row r="3017" spans="5:5" x14ac:dyDescent="0.25">
      <c r="E3017" s="3" t="str">
        <f t="shared" si="47"/>
        <v/>
      </c>
    </row>
    <row r="3018" spans="5:5" x14ac:dyDescent="0.25">
      <c r="E3018" s="3" t="str">
        <f t="shared" si="47"/>
        <v/>
      </c>
    </row>
    <row r="3019" spans="5:5" x14ac:dyDescent="0.25">
      <c r="E3019" s="3" t="str">
        <f t="shared" si="47"/>
        <v/>
      </c>
    </row>
    <row r="3020" spans="5:5" x14ac:dyDescent="0.25">
      <c r="E3020" s="3" t="str">
        <f t="shared" si="47"/>
        <v/>
      </c>
    </row>
    <row r="3021" spans="5:5" x14ac:dyDescent="0.25">
      <c r="E3021" s="3" t="str">
        <f t="shared" si="47"/>
        <v/>
      </c>
    </row>
    <row r="3022" spans="5:5" x14ac:dyDescent="0.25">
      <c r="E3022" s="3" t="str">
        <f t="shared" si="47"/>
        <v/>
      </c>
    </row>
    <row r="3023" spans="5:5" x14ac:dyDescent="0.25">
      <c r="E3023" s="3" t="str">
        <f t="shared" si="47"/>
        <v/>
      </c>
    </row>
    <row r="3024" spans="5:5" x14ac:dyDescent="0.25">
      <c r="E3024" s="3" t="str">
        <f t="shared" si="47"/>
        <v/>
      </c>
    </row>
    <row r="3025" spans="5:5" x14ac:dyDescent="0.25">
      <c r="E3025" s="3" t="str">
        <f t="shared" si="47"/>
        <v/>
      </c>
    </row>
    <row r="3026" spans="5:5" x14ac:dyDescent="0.25">
      <c r="E3026" s="3" t="str">
        <f t="shared" si="47"/>
        <v/>
      </c>
    </row>
    <row r="3027" spans="5:5" x14ac:dyDescent="0.25">
      <c r="E3027" s="3" t="str">
        <f t="shared" si="47"/>
        <v/>
      </c>
    </row>
    <row r="3028" spans="5:5" x14ac:dyDescent="0.25">
      <c r="E3028" s="3" t="str">
        <f t="shared" si="47"/>
        <v/>
      </c>
    </row>
    <row r="3029" spans="5:5" x14ac:dyDescent="0.25">
      <c r="E3029" s="3" t="str">
        <f t="shared" si="47"/>
        <v/>
      </c>
    </row>
    <row r="3030" spans="5:5" x14ac:dyDescent="0.25">
      <c r="E3030" s="3" t="str">
        <f t="shared" si="47"/>
        <v/>
      </c>
    </row>
    <row r="3031" spans="5:5" x14ac:dyDescent="0.25">
      <c r="E3031" s="3" t="str">
        <f t="shared" si="47"/>
        <v/>
      </c>
    </row>
    <row r="3032" spans="5:5" x14ac:dyDescent="0.25">
      <c r="E3032" s="3" t="str">
        <f t="shared" si="47"/>
        <v/>
      </c>
    </row>
    <row r="3033" spans="5:5" x14ac:dyDescent="0.25">
      <c r="E3033" s="3" t="str">
        <f t="shared" si="47"/>
        <v/>
      </c>
    </row>
    <row r="3034" spans="5:5" x14ac:dyDescent="0.25">
      <c r="E3034" s="3" t="str">
        <f t="shared" si="47"/>
        <v/>
      </c>
    </row>
    <row r="3035" spans="5:5" x14ac:dyDescent="0.25">
      <c r="E3035" s="3" t="str">
        <f t="shared" si="47"/>
        <v/>
      </c>
    </row>
    <row r="3036" spans="5:5" x14ac:dyDescent="0.25">
      <c r="E3036" s="3" t="str">
        <f t="shared" si="47"/>
        <v/>
      </c>
    </row>
    <row r="3037" spans="5:5" x14ac:dyDescent="0.25">
      <c r="E3037" s="3" t="str">
        <f t="shared" si="47"/>
        <v/>
      </c>
    </row>
    <row r="3038" spans="5:5" x14ac:dyDescent="0.25">
      <c r="E3038" s="3" t="str">
        <f t="shared" si="47"/>
        <v/>
      </c>
    </row>
    <row r="3039" spans="5:5" x14ac:dyDescent="0.25">
      <c r="E3039" s="3" t="str">
        <f t="shared" si="47"/>
        <v/>
      </c>
    </row>
    <row r="3040" spans="5:5" x14ac:dyDescent="0.25">
      <c r="E3040" s="3" t="str">
        <f t="shared" si="47"/>
        <v/>
      </c>
    </row>
    <row r="3041" spans="5:5" x14ac:dyDescent="0.25">
      <c r="E3041" s="3" t="str">
        <f t="shared" si="47"/>
        <v/>
      </c>
    </row>
    <row r="3042" spans="5:5" x14ac:dyDescent="0.25">
      <c r="E3042" s="3" t="str">
        <f t="shared" si="47"/>
        <v/>
      </c>
    </row>
    <row r="3043" spans="5:5" x14ac:dyDescent="0.25">
      <c r="E3043" s="3" t="str">
        <f t="shared" si="47"/>
        <v/>
      </c>
    </row>
    <row r="3044" spans="5:5" x14ac:dyDescent="0.25">
      <c r="E3044" s="3" t="str">
        <f t="shared" si="47"/>
        <v/>
      </c>
    </row>
    <row r="3045" spans="5:5" x14ac:dyDescent="0.25">
      <c r="E3045" s="3" t="str">
        <f t="shared" si="47"/>
        <v/>
      </c>
    </row>
    <row r="3046" spans="5:5" x14ac:dyDescent="0.25">
      <c r="E3046" s="3" t="str">
        <f t="shared" si="47"/>
        <v/>
      </c>
    </row>
    <row r="3047" spans="5:5" x14ac:dyDescent="0.25">
      <c r="E3047" s="3" t="str">
        <f t="shared" si="47"/>
        <v/>
      </c>
    </row>
    <row r="3048" spans="5:5" x14ac:dyDescent="0.25">
      <c r="E3048" s="3" t="str">
        <f t="shared" si="47"/>
        <v/>
      </c>
    </row>
    <row r="3049" spans="5:5" x14ac:dyDescent="0.25">
      <c r="E3049" s="3" t="str">
        <f t="shared" si="47"/>
        <v/>
      </c>
    </row>
    <row r="3050" spans="5:5" x14ac:dyDescent="0.25">
      <c r="E3050" s="3" t="str">
        <f t="shared" si="47"/>
        <v/>
      </c>
    </row>
    <row r="3051" spans="5:5" x14ac:dyDescent="0.25">
      <c r="E3051" s="3" t="str">
        <f t="shared" si="47"/>
        <v/>
      </c>
    </row>
    <row r="3052" spans="5:5" x14ac:dyDescent="0.25">
      <c r="E3052" s="3" t="str">
        <f t="shared" si="47"/>
        <v/>
      </c>
    </row>
    <row r="3053" spans="5:5" x14ac:dyDescent="0.25">
      <c r="E3053" s="3" t="str">
        <f t="shared" si="47"/>
        <v/>
      </c>
    </row>
    <row r="3054" spans="5:5" x14ac:dyDescent="0.25">
      <c r="E3054" s="3" t="str">
        <f t="shared" si="47"/>
        <v/>
      </c>
    </row>
    <row r="3055" spans="5:5" x14ac:dyDescent="0.25">
      <c r="E3055" s="3" t="str">
        <f t="shared" si="47"/>
        <v/>
      </c>
    </row>
    <row r="3056" spans="5:5" x14ac:dyDescent="0.25">
      <c r="E3056" s="3" t="str">
        <f t="shared" si="47"/>
        <v/>
      </c>
    </row>
    <row r="3057" spans="5:5" x14ac:dyDescent="0.25">
      <c r="E3057" s="3" t="str">
        <f t="shared" si="47"/>
        <v/>
      </c>
    </row>
    <row r="3058" spans="5:5" x14ac:dyDescent="0.25">
      <c r="E3058" s="3" t="str">
        <f t="shared" si="47"/>
        <v/>
      </c>
    </row>
    <row r="3059" spans="5:5" x14ac:dyDescent="0.25">
      <c r="E3059" s="3" t="str">
        <f t="shared" si="47"/>
        <v/>
      </c>
    </row>
    <row r="3060" spans="5:5" x14ac:dyDescent="0.25">
      <c r="E3060" s="3" t="str">
        <f t="shared" si="47"/>
        <v/>
      </c>
    </row>
    <row r="3061" spans="5:5" x14ac:dyDescent="0.25">
      <c r="E3061" s="3" t="str">
        <f t="shared" si="47"/>
        <v/>
      </c>
    </row>
    <row r="3062" spans="5:5" x14ac:dyDescent="0.25">
      <c r="E3062" s="3" t="str">
        <f t="shared" si="47"/>
        <v/>
      </c>
    </row>
    <row r="3063" spans="5:5" x14ac:dyDescent="0.25">
      <c r="E3063" s="3" t="str">
        <f t="shared" si="47"/>
        <v/>
      </c>
    </row>
    <row r="3064" spans="5:5" x14ac:dyDescent="0.25">
      <c r="E3064" s="3" t="str">
        <f t="shared" si="47"/>
        <v/>
      </c>
    </row>
    <row r="3065" spans="5:5" x14ac:dyDescent="0.25">
      <c r="E3065" s="3" t="str">
        <f t="shared" si="47"/>
        <v/>
      </c>
    </row>
    <row r="3066" spans="5:5" x14ac:dyDescent="0.25">
      <c r="E3066" s="3" t="str">
        <f t="shared" si="47"/>
        <v/>
      </c>
    </row>
    <row r="3067" spans="5:5" x14ac:dyDescent="0.25">
      <c r="E3067" s="3" t="str">
        <f t="shared" si="47"/>
        <v/>
      </c>
    </row>
    <row r="3068" spans="5:5" x14ac:dyDescent="0.25">
      <c r="E3068" s="3" t="str">
        <f t="shared" si="47"/>
        <v/>
      </c>
    </row>
    <row r="3069" spans="5:5" x14ac:dyDescent="0.25">
      <c r="E3069" s="3" t="str">
        <f t="shared" si="47"/>
        <v/>
      </c>
    </row>
    <row r="3070" spans="5:5" x14ac:dyDescent="0.25">
      <c r="E3070" s="3" t="str">
        <f t="shared" si="47"/>
        <v/>
      </c>
    </row>
    <row r="3071" spans="5:5" x14ac:dyDescent="0.25">
      <c r="E3071" s="3" t="str">
        <f t="shared" si="47"/>
        <v/>
      </c>
    </row>
    <row r="3072" spans="5:5" x14ac:dyDescent="0.25">
      <c r="E3072" s="3" t="str">
        <f t="shared" si="47"/>
        <v/>
      </c>
    </row>
    <row r="3073" spans="5:5" x14ac:dyDescent="0.25">
      <c r="E3073" s="3" t="str">
        <f t="shared" si="47"/>
        <v/>
      </c>
    </row>
    <row r="3074" spans="5:5" x14ac:dyDescent="0.25">
      <c r="E3074" s="3" t="str">
        <f t="shared" si="47"/>
        <v/>
      </c>
    </row>
    <row r="3075" spans="5:5" x14ac:dyDescent="0.25">
      <c r="E3075" s="3" t="str">
        <f t="shared" ref="E3075:E3138" si="48">IF(COUNTIF(C$3:C$5000,C3075)&gt;1,"DUPLICADO","")</f>
        <v/>
      </c>
    </row>
    <row r="3076" spans="5:5" x14ac:dyDescent="0.25">
      <c r="E3076" s="3" t="str">
        <f t="shared" si="48"/>
        <v/>
      </c>
    </row>
    <row r="3077" spans="5:5" x14ac:dyDescent="0.25">
      <c r="E3077" s="3" t="str">
        <f t="shared" si="48"/>
        <v/>
      </c>
    </row>
    <row r="3078" spans="5:5" x14ac:dyDescent="0.25">
      <c r="E3078" s="3" t="str">
        <f t="shared" si="48"/>
        <v/>
      </c>
    </row>
    <row r="3079" spans="5:5" x14ac:dyDescent="0.25">
      <c r="E3079" s="3" t="str">
        <f t="shared" si="48"/>
        <v/>
      </c>
    </row>
    <row r="3080" spans="5:5" x14ac:dyDescent="0.25">
      <c r="E3080" s="3" t="str">
        <f t="shared" si="48"/>
        <v/>
      </c>
    </row>
    <row r="3081" spans="5:5" x14ac:dyDescent="0.25">
      <c r="E3081" s="3" t="str">
        <f t="shared" si="48"/>
        <v/>
      </c>
    </row>
    <row r="3082" spans="5:5" x14ac:dyDescent="0.25">
      <c r="E3082" s="3" t="str">
        <f t="shared" si="48"/>
        <v/>
      </c>
    </row>
    <row r="3083" spans="5:5" x14ac:dyDescent="0.25">
      <c r="E3083" s="3" t="str">
        <f t="shared" si="48"/>
        <v/>
      </c>
    </row>
    <row r="3084" spans="5:5" x14ac:dyDescent="0.25">
      <c r="E3084" s="3" t="str">
        <f t="shared" si="48"/>
        <v/>
      </c>
    </row>
    <row r="3085" spans="5:5" x14ac:dyDescent="0.25">
      <c r="E3085" s="3" t="str">
        <f t="shared" si="48"/>
        <v/>
      </c>
    </row>
    <row r="3086" spans="5:5" x14ac:dyDescent="0.25">
      <c r="E3086" s="3" t="str">
        <f t="shared" si="48"/>
        <v/>
      </c>
    </row>
    <row r="3087" spans="5:5" x14ac:dyDescent="0.25">
      <c r="E3087" s="3" t="str">
        <f t="shared" si="48"/>
        <v/>
      </c>
    </row>
    <row r="3088" spans="5:5" x14ac:dyDescent="0.25">
      <c r="E3088" s="3" t="str">
        <f t="shared" si="48"/>
        <v/>
      </c>
    </row>
    <row r="3089" spans="5:5" x14ac:dyDescent="0.25">
      <c r="E3089" s="3" t="str">
        <f t="shared" si="48"/>
        <v/>
      </c>
    </row>
    <row r="3090" spans="5:5" x14ac:dyDescent="0.25">
      <c r="E3090" s="3" t="str">
        <f t="shared" si="48"/>
        <v/>
      </c>
    </row>
    <row r="3091" spans="5:5" x14ac:dyDescent="0.25">
      <c r="E3091" s="3" t="str">
        <f t="shared" si="48"/>
        <v/>
      </c>
    </row>
    <row r="3092" spans="5:5" x14ac:dyDescent="0.25">
      <c r="E3092" s="3" t="str">
        <f t="shared" si="48"/>
        <v/>
      </c>
    </row>
    <row r="3093" spans="5:5" x14ac:dyDescent="0.25">
      <c r="E3093" s="3" t="str">
        <f t="shared" si="48"/>
        <v/>
      </c>
    </row>
    <row r="3094" spans="5:5" x14ac:dyDescent="0.25">
      <c r="E3094" s="3" t="str">
        <f t="shared" si="48"/>
        <v/>
      </c>
    </row>
    <row r="3095" spans="5:5" x14ac:dyDescent="0.25">
      <c r="E3095" s="3" t="str">
        <f t="shared" si="48"/>
        <v/>
      </c>
    </row>
    <row r="3096" spans="5:5" x14ac:dyDescent="0.25">
      <c r="E3096" s="3" t="str">
        <f t="shared" si="48"/>
        <v/>
      </c>
    </row>
    <row r="3097" spans="5:5" x14ac:dyDescent="0.25">
      <c r="E3097" s="3" t="str">
        <f t="shared" si="48"/>
        <v/>
      </c>
    </row>
    <row r="3098" spans="5:5" x14ac:dyDescent="0.25">
      <c r="E3098" s="3" t="str">
        <f t="shared" si="48"/>
        <v/>
      </c>
    </row>
    <row r="3099" spans="5:5" x14ac:dyDescent="0.25">
      <c r="E3099" s="3" t="str">
        <f t="shared" si="48"/>
        <v/>
      </c>
    </row>
    <row r="3100" spans="5:5" x14ac:dyDescent="0.25">
      <c r="E3100" s="3" t="str">
        <f t="shared" si="48"/>
        <v/>
      </c>
    </row>
    <row r="3101" spans="5:5" x14ac:dyDescent="0.25">
      <c r="E3101" s="3" t="str">
        <f t="shared" si="48"/>
        <v/>
      </c>
    </row>
    <row r="3102" spans="5:5" x14ac:dyDescent="0.25">
      <c r="E3102" s="3" t="str">
        <f t="shared" si="48"/>
        <v/>
      </c>
    </row>
    <row r="3103" spans="5:5" x14ac:dyDescent="0.25">
      <c r="E3103" s="3" t="str">
        <f t="shared" si="48"/>
        <v/>
      </c>
    </row>
    <row r="3104" spans="5:5" x14ac:dyDescent="0.25">
      <c r="E3104" s="3" t="str">
        <f t="shared" si="48"/>
        <v/>
      </c>
    </row>
    <row r="3105" spans="5:5" x14ac:dyDescent="0.25">
      <c r="E3105" s="3" t="str">
        <f t="shared" si="48"/>
        <v/>
      </c>
    </row>
    <row r="3106" spans="5:5" x14ac:dyDescent="0.25">
      <c r="E3106" s="3" t="str">
        <f t="shared" si="48"/>
        <v/>
      </c>
    </row>
    <row r="3107" spans="5:5" x14ac:dyDescent="0.25">
      <c r="E3107" s="3" t="str">
        <f t="shared" si="48"/>
        <v/>
      </c>
    </row>
    <row r="3108" spans="5:5" x14ac:dyDescent="0.25">
      <c r="E3108" s="3" t="str">
        <f t="shared" si="48"/>
        <v/>
      </c>
    </row>
    <row r="3109" spans="5:5" x14ac:dyDescent="0.25">
      <c r="E3109" s="3" t="str">
        <f t="shared" si="48"/>
        <v/>
      </c>
    </row>
    <row r="3110" spans="5:5" x14ac:dyDescent="0.25">
      <c r="E3110" s="3" t="str">
        <f t="shared" si="48"/>
        <v/>
      </c>
    </row>
    <row r="3111" spans="5:5" x14ac:dyDescent="0.25">
      <c r="E3111" s="3" t="str">
        <f t="shared" si="48"/>
        <v/>
      </c>
    </row>
    <row r="3112" spans="5:5" x14ac:dyDescent="0.25">
      <c r="E3112" s="3" t="str">
        <f t="shared" si="48"/>
        <v/>
      </c>
    </row>
    <row r="3113" spans="5:5" x14ac:dyDescent="0.25">
      <c r="E3113" s="3" t="str">
        <f t="shared" si="48"/>
        <v/>
      </c>
    </row>
    <row r="3114" spans="5:5" x14ac:dyDescent="0.25">
      <c r="E3114" s="3" t="str">
        <f t="shared" si="48"/>
        <v/>
      </c>
    </row>
    <row r="3115" spans="5:5" x14ac:dyDescent="0.25">
      <c r="E3115" s="3" t="str">
        <f t="shared" si="48"/>
        <v/>
      </c>
    </row>
    <row r="3116" spans="5:5" x14ac:dyDescent="0.25">
      <c r="E3116" s="3" t="str">
        <f t="shared" si="48"/>
        <v/>
      </c>
    </row>
    <row r="3117" spans="5:5" x14ac:dyDescent="0.25">
      <c r="E3117" s="3" t="str">
        <f t="shared" si="48"/>
        <v/>
      </c>
    </row>
    <row r="3118" spans="5:5" x14ac:dyDescent="0.25">
      <c r="E3118" s="3" t="str">
        <f t="shared" si="48"/>
        <v/>
      </c>
    </row>
    <row r="3119" spans="5:5" x14ac:dyDescent="0.25">
      <c r="E3119" s="3" t="str">
        <f t="shared" si="48"/>
        <v/>
      </c>
    </row>
    <row r="3120" spans="5:5" x14ac:dyDescent="0.25">
      <c r="E3120" s="3" t="str">
        <f t="shared" si="48"/>
        <v/>
      </c>
    </row>
    <row r="3121" spans="5:5" x14ac:dyDescent="0.25">
      <c r="E3121" s="3" t="str">
        <f t="shared" si="48"/>
        <v/>
      </c>
    </row>
    <row r="3122" spans="5:5" x14ac:dyDescent="0.25">
      <c r="E3122" s="3" t="str">
        <f t="shared" si="48"/>
        <v/>
      </c>
    </row>
    <row r="3123" spans="5:5" x14ac:dyDescent="0.25">
      <c r="E3123" s="3" t="str">
        <f t="shared" si="48"/>
        <v/>
      </c>
    </row>
    <row r="3124" spans="5:5" x14ac:dyDescent="0.25">
      <c r="E3124" s="3" t="str">
        <f t="shared" si="48"/>
        <v/>
      </c>
    </row>
    <row r="3125" spans="5:5" x14ac:dyDescent="0.25">
      <c r="E3125" s="3" t="str">
        <f t="shared" si="48"/>
        <v/>
      </c>
    </row>
    <row r="3126" spans="5:5" x14ac:dyDescent="0.25">
      <c r="E3126" s="3" t="str">
        <f t="shared" si="48"/>
        <v/>
      </c>
    </row>
    <row r="3127" spans="5:5" x14ac:dyDescent="0.25">
      <c r="E3127" s="3" t="str">
        <f t="shared" si="48"/>
        <v/>
      </c>
    </row>
    <row r="3128" spans="5:5" x14ac:dyDescent="0.25">
      <c r="E3128" s="3" t="str">
        <f t="shared" si="48"/>
        <v/>
      </c>
    </row>
    <row r="3129" spans="5:5" x14ac:dyDescent="0.25">
      <c r="E3129" s="3" t="str">
        <f t="shared" si="48"/>
        <v/>
      </c>
    </row>
    <row r="3130" spans="5:5" x14ac:dyDescent="0.25">
      <c r="E3130" s="3" t="str">
        <f t="shared" si="48"/>
        <v/>
      </c>
    </row>
    <row r="3131" spans="5:5" x14ac:dyDescent="0.25">
      <c r="E3131" s="3" t="str">
        <f t="shared" si="48"/>
        <v/>
      </c>
    </row>
    <row r="3132" spans="5:5" x14ac:dyDescent="0.25">
      <c r="E3132" s="3" t="str">
        <f t="shared" si="48"/>
        <v/>
      </c>
    </row>
    <row r="3133" spans="5:5" x14ac:dyDescent="0.25">
      <c r="E3133" s="3" t="str">
        <f t="shared" si="48"/>
        <v/>
      </c>
    </row>
    <row r="3134" spans="5:5" x14ac:dyDescent="0.25">
      <c r="E3134" s="3" t="str">
        <f t="shared" si="48"/>
        <v/>
      </c>
    </row>
    <row r="3135" spans="5:5" x14ac:dyDescent="0.25">
      <c r="E3135" s="3" t="str">
        <f t="shared" si="48"/>
        <v/>
      </c>
    </row>
    <row r="3136" spans="5:5" x14ac:dyDescent="0.25">
      <c r="E3136" s="3" t="str">
        <f t="shared" si="48"/>
        <v/>
      </c>
    </row>
    <row r="3137" spans="5:5" x14ac:dyDescent="0.25">
      <c r="E3137" s="3" t="str">
        <f t="shared" si="48"/>
        <v/>
      </c>
    </row>
    <row r="3138" spans="5:5" x14ac:dyDescent="0.25">
      <c r="E3138" s="3" t="str">
        <f t="shared" si="48"/>
        <v/>
      </c>
    </row>
    <row r="3139" spans="5:5" x14ac:dyDescent="0.25">
      <c r="E3139" s="3" t="str">
        <f t="shared" ref="E3139:E3202" si="49">IF(COUNTIF(C$3:C$5000,C3139)&gt;1,"DUPLICADO","")</f>
        <v/>
      </c>
    </row>
    <row r="3140" spans="5:5" x14ac:dyDescent="0.25">
      <c r="E3140" s="3" t="str">
        <f t="shared" si="49"/>
        <v/>
      </c>
    </row>
    <row r="3141" spans="5:5" x14ac:dyDescent="0.25">
      <c r="E3141" s="3" t="str">
        <f t="shared" si="49"/>
        <v/>
      </c>
    </row>
    <row r="3142" spans="5:5" x14ac:dyDescent="0.25">
      <c r="E3142" s="3" t="str">
        <f t="shared" si="49"/>
        <v/>
      </c>
    </row>
    <row r="3143" spans="5:5" x14ac:dyDescent="0.25">
      <c r="E3143" s="3" t="str">
        <f t="shared" si="49"/>
        <v/>
      </c>
    </row>
    <row r="3144" spans="5:5" x14ac:dyDescent="0.25">
      <c r="E3144" s="3" t="str">
        <f t="shared" si="49"/>
        <v/>
      </c>
    </row>
    <row r="3145" spans="5:5" x14ac:dyDescent="0.25">
      <c r="E3145" s="3" t="str">
        <f t="shared" si="49"/>
        <v/>
      </c>
    </row>
    <row r="3146" spans="5:5" x14ac:dyDescent="0.25">
      <c r="E3146" s="3" t="str">
        <f t="shared" si="49"/>
        <v/>
      </c>
    </row>
    <row r="3147" spans="5:5" x14ac:dyDescent="0.25">
      <c r="E3147" s="3" t="str">
        <f t="shared" si="49"/>
        <v/>
      </c>
    </row>
    <row r="3148" spans="5:5" x14ac:dyDescent="0.25">
      <c r="E3148" s="3" t="str">
        <f t="shared" si="49"/>
        <v/>
      </c>
    </row>
    <row r="3149" spans="5:5" x14ac:dyDescent="0.25">
      <c r="E3149" s="3" t="str">
        <f t="shared" si="49"/>
        <v/>
      </c>
    </row>
    <row r="3150" spans="5:5" x14ac:dyDescent="0.25">
      <c r="E3150" s="3" t="str">
        <f t="shared" si="49"/>
        <v/>
      </c>
    </row>
    <row r="3151" spans="5:5" x14ac:dyDescent="0.25">
      <c r="E3151" s="3" t="str">
        <f t="shared" si="49"/>
        <v/>
      </c>
    </row>
    <row r="3152" spans="5:5" x14ac:dyDescent="0.25">
      <c r="E3152" s="3" t="str">
        <f t="shared" si="49"/>
        <v/>
      </c>
    </row>
    <row r="3153" spans="5:5" x14ac:dyDescent="0.25">
      <c r="E3153" s="3" t="str">
        <f t="shared" si="49"/>
        <v/>
      </c>
    </row>
    <row r="3154" spans="5:5" x14ac:dyDescent="0.25">
      <c r="E3154" s="3" t="str">
        <f t="shared" si="49"/>
        <v/>
      </c>
    </row>
    <row r="3155" spans="5:5" x14ac:dyDescent="0.25">
      <c r="E3155" s="3" t="str">
        <f t="shared" si="49"/>
        <v/>
      </c>
    </row>
    <row r="3156" spans="5:5" x14ac:dyDescent="0.25">
      <c r="E3156" s="3" t="str">
        <f t="shared" si="49"/>
        <v/>
      </c>
    </row>
    <row r="3157" spans="5:5" x14ac:dyDescent="0.25">
      <c r="E3157" s="3" t="str">
        <f t="shared" si="49"/>
        <v/>
      </c>
    </row>
    <row r="3158" spans="5:5" x14ac:dyDescent="0.25">
      <c r="E3158" s="3" t="str">
        <f t="shared" si="49"/>
        <v/>
      </c>
    </row>
    <row r="3159" spans="5:5" x14ac:dyDescent="0.25">
      <c r="E3159" s="3" t="str">
        <f t="shared" si="49"/>
        <v/>
      </c>
    </row>
    <row r="3160" spans="5:5" x14ac:dyDescent="0.25">
      <c r="E3160" s="3" t="str">
        <f t="shared" si="49"/>
        <v/>
      </c>
    </row>
    <row r="3161" spans="5:5" x14ac:dyDescent="0.25">
      <c r="E3161" s="3" t="str">
        <f t="shared" si="49"/>
        <v/>
      </c>
    </row>
    <row r="3162" spans="5:5" x14ac:dyDescent="0.25">
      <c r="E3162" s="3" t="str">
        <f t="shared" si="49"/>
        <v/>
      </c>
    </row>
    <row r="3163" spans="5:5" x14ac:dyDescent="0.25">
      <c r="E3163" s="3" t="str">
        <f t="shared" si="49"/>
        <v/>
      </c>
    </row>
    <row r="3164" spans="5:5" x14ac:dyDescent="0.25">
      <c r="E3164" s="3" t="str">
        <f t="shared" si="49"/>
        <v/>
      </c>
    </row>
    <row r="3165" spans="5:5" x14ac:dyDescent="0.25">
      <c r="E3165" s="3" t="str">
        <f t="shared" si="49"/>
        <v/>
      </c>
    </row>
    <row r="3166" spans="5:5" x14ac:dyDescent="0.25">
      <c r="E3166" s="3" t="str">
        <f t="shared" si="49"/>
        <v/>
      </c>
    </row>
    <row r="3167" spans="5:5" x14ac:dyDescent="0.25">
      <c r="E3167" s="3" t="str">
        <f t="shared" si="49"/>
        <v/>
      </c>
    </row>
    <row r="3168" spans="5:5" x14ac:dyDescent="0.25">
      <c r="E3168" s="3" t="str">
        <f t="shared" si="49"/>
        <v/>
      </c>
    </row>
    <row r="3169" spans="5:5" x14ac:dyDescent="0.25">
      <c r="E3169" s="3" t="str">
        <f t="shared" si="49"/>
        <v/>
      </c>
    </row>
    <row r="3170" spans="5:5" x14ac:dyDescent="0.25">
      <c r="E3170" s="3" t="str">
        <f t="shared" si="49"/>
        <v/>
      </c>
    </row>
    <row r="3171" spans="5:5" x14ac:dyDescent="0.25">
      <c r="E3171" s="3" t="str">
        <f t="shared" si="49"/>
        <v/>
      </c>
    </row>
    <row r="3172" spans="5:5" x14ac:dyDescent="0.25">
      <c r="E3172" s="3" t="str">
        <f t="shared" si="49"/>
        <v/>
      </c>
    </row>
    <row r="3173" spans="5:5" x14ac:dyDescent="0.25">
      <c r="E3173" s="3" t="str">
        <f t="shared" si="49"/>
        <v/>
      </c>
    </row>
    <row r="3174" spans="5:5" x14ac:dyDescent="0.25">
      <c r="E3174" s="3" t="str">
        <f t="shared" si="49"/>
        <v/>
      </c>
    </row>
    <row r="3175" spans="5:5" x14ac:dyDescent="0.25">
      <c r="E3175" s="3" t="str">
        <f t="shared" si="49"/>
        <v/>
      </c>
    </row>
    <row r="3176" spans="5:5" x14ac:dyDescent="0.25">
      <c r="E3176" s="3" t="str">
        <f t="shared" si="49"/>
        <v/>
      </c>
    </row>
    <row r="3177" spans="5:5" x14ac:dyDescent="0.25">
      <c r="E3177" s="3" t="str">
        <f t="shared" si="49"/>
        <v/>
      </c>
    </row>
    <row r="3178" spans="5:5" x14ac:dyDescent="0.25">
      <c r="E3178" s="3" t="str">
        <f t="shared" si="49"/>
        <v/>
      </c>
    </row>
    <row r="3179" spans="5:5" x14ac:dyDescent="0.25">
      <c r="E3179" s="3" t="str">
        <f t="shared" si="49"/>
        <v/>
      </c>
    </row>
    <row r="3180" spans="5:5" x14ac:dyDescent="0.25">
      <c r="E3180" s="3" t="str">
        <f t="shared" si="49"/>
        <v/>
      </c>
    </row>
    <row r="3181" spans="5:5" x14ac:dyDescent="0.25">
      <c r="E3181" s="3" t="str">
        <f t="shared" si="49"/>
        <v/>
      </c>
    </row>
    <row r="3182" spans="5:5" x14ac:dyDescent="0.25">
      <c r="E3182" s="3" t="str">
        <f t="shared" si="49"/>
        <v/>
      </c>
    </row>
    <row r="3183" spans="5:5" x14ac:dyDescent="0.25">
      <c r="E3183" s="3" t="str">
        <f t="shared" si="49"/>
        <v/>
      </c>
    </row>
    <row r="3184" spans="5:5" x14ac:dyDescent="0.25">
      <c r="E3184" s="3" t="str">
        <f t="shared" si="49"/>
        <v/>
      </c>
    </row>
    <row r="3185" spans="5:5" x14ac:dyDescent="0.25">
      <c r="E3185" s="3" t="str">
        <f t="shared" si="49"/>
        <v/>
      </c>
    </row>
    <row r="3186" spans="5:5" x14ac:dyDescent="0.25">
      <c r="E3186" s="3" t="str">
        <f t="shared" si="49"/>
        <v/>
      </c>
    </row>
    <row r="3187" spans="5:5" x14ac:dyDescent="0.25">
      <c r="E3187" s="3" t="str">
        <f t="shared" si="49"/>
        <v/>
      </c>
    </row>
    <row r="3188" spans="5:5" x14ac:dyDescent="0.25">
      <c r="E3188" s="3" t="str">
        <f t="shared" si="49"/>
        <v/>
      </c>
    </row>
    <row r="3189" spans="5:5" x14ac:dyDescent="0.25">
      <c r="E3189" s="3" t="str">
        <f t="shared" si="49"/>
        <v/>
      </c>
    </row>
    <row r="3190" spans="5:5" x14ac:dyDescent="0.25">
      <c r="E3190" s="3" t="str">
        <f t="shared" si="49"/>
        <v/>
      </c>
    </row>
    <row r="3191" spans="5:5" x14ac:dyDescent="0.25">
      <c r="E3191" s="3" t="str">
        <f t="shared" si="49"/>
        <v/>
      </c>
    </row>
    <row r="3192" spans="5:5" x14ac:dyDescent="0.25">
      <c r="E3192" s="3" t="str">
        <f t="shared" si="49"/>
        <v/>
      </c>
    </row>
    <row r="3193" spans="5:5" x14ac:dyDescent="0.25">
      <c r="E3193" s="3" t="str">
        <f t="shared" si="49"/>
        <v/>
      </c>
    </row>
    <row r="3194" spans="5:5" x14ac:dyDescent="0.25">
      <c r="E3194" s="3" t="str">
        <f t="shared" si="49"/>
        <v/>
      </c>
    </row>
    <row r="3195" spans="5:5" x14ac:dyDescent="0.25">
      <c r="E3195" s="3" t="str">
        <f t="shared" si="49"/>
        <v/>
      </c>
    </row>
    <row r="3196" spans="5:5" x14ac:dyDescent="0.25">
      <c r="E3196" s="3" t="str">
        <f t="shared" si="49"/>
        <v/>
      </c>
    </row>
    <row r="3197" spans="5:5" x14ac:dyDescent="0.25">
      <c r="E3197" s="3" t="str">
        <f t="shared" si="49"/>
        <v/>
      </c>
    </row>
    <row r="3198" spans="5:5" x14ac:dyDescent="0.25">
      <c r="E3198" s="3" t="str">
        <f t="shared" si="49"/>
        <v/>
      </c>
    </row>
    <row r="3199" spans="5:5" x14ac:dyDescent="0.25">
      <c r="E3199" s="3" t="str">
        <f t="shared" si="49"/>
        <v/>
      </c>
    </row>
    <row r="3200" spans="5:5" x14ac:dyDescent="0.25">
      <c r="E3200" s="3" t="str">
        <f t="shared" si="49"/>
        <v/>
      </c>
    </row>
    <row r="3201" spans="5:5" x14ac:dyDescent="0.25">
      <c r="E3201" s="3" t="str">
        <f t="shared" si="49"/>
        <v/>
      </c>
    </row>
    <row r="3202" spans="5:5" x14ac:dyDescent="0.25">
      <c r="E3202" s="3" t="str">
        <f t="shared" si="49"/>
        <v/>
      </c>
    </row>
    <row r="3203" spans="5:5" x14ac:dyDescent="0.25">
      <c r="E3203" s="3" t="str">
        <f t="shared" ref="E3203:E3266" si="50">IF(COUNTIF(C$3:C$5000,C3203)&gt;1,"DUPLICADO","")</f>
        <v/>
      </c>
    </row>
    <row r="3204" spans="5:5" x14ac:dyDescent="0.25">
      <c r="E3204" s="3" t="str">
        <f t="shared" si="50"/>
        <v/>
      </c>
    </row>
    <row r="3205" spans="5:5" x14ac:dyDescent="0.25">
      <c r="E3205" s="3" t="str">
        <f t="shared" si="50"/>
        <v/>
      </c>
    </row>
    <row r="3206" spans="5:5" x14ac:dyDescent="0.25">
      <c r="E3206" s="3" t="str">
        <f t="shared" si="50"/>
        <v/>
      </c>
    </row>
    <row r="3207" spans="5:5" x14ac:dyDescent="0.25">
      <c r="E3207" s="3" t="str">
        <f t="shared" si="50"/>
        <v/>
      </c>
    </row>
    <row r="3208" spans="5:5" x14ac:dyDescent="0.25">
      <c r="E3208" s="3" t="str">
        <f t="shared" si="50"/>
        <v/>
      </c>
    </row>
    <row r="3209" spans="5:5" x14ac:dyDescent="0.25">
      <c r="E3209" s="3" t="str">
        <f t="shared" si="50"/>
        <v/>
      </c>
    </row>
    <row r="3210" spans="5:5" x14ac:dyDescent="0.25">
      <c r="E3210" s="3" t="str">
        <f t="shared" si="50"/>
        <v/>
      </c>
    </row>
    <row r="3211" spans="5:5" x14ac:dyDescent="0.25">
      <c r="E3211" s="3" t="str">
        <f t="shared" si="50"/>
        <v/>
      </c>
    </row>
    <row r="3212" spans="5:5" x14ac:dyDescent="0.25">
      <c r="E3212" s="3" t="str">
        <f t="shared" si="50"/>
        <v/>
      </c>
    </row>
    <row r="3213" spans="5:5" x14ac:dyDescent="0.25">
      <c r="E3213" s="3" t="str">
        <f t="shared" si="50"/>
        <v/>
      </c>
    </row>
    <row r="3214" spans="5:5" x14ac:dyDescent="0.25">
      <c r="E3214" s="3" t="str">
        <f t="shared" si="50"/>
        <v/>
      </c>
    </row>
    <row r="3215" spans="5:5" x14ac:dyDescent="0.25">
      <c r="E3215" s="3" t="str">
        <f t="shared" si="50"/>
        <v/>
      </c>
    </row>
    <row r="3216" spans="5:5" x14ac:dyDescent="0.25">
      <c r="E3216" s="3" t="str">
        <f t="shared" si="50"/>
        <v/>
      </c>
    </row>
    <row r="3217" spans="5:5" x14ac:dyDescent="0.25">
      <c r="E3217" s="3" t="str">
        <f t="shared" si="50"/>
        <v/>
      </c>
    </row>
    <row r="3218" spans="5:5" x14ac:dyDescent="0.25">
      <c r="E3218" s="3" t="str">
        <f t="shared" si="50"/>
        <v/>
      </c>
    </row>
    <row r="3219" spans="5:5" x14ac:dyDescent="0.25">
      <c r="E3219" s="3" t="str">
        <f t="shared" si="50"/>
        <v/>
      </c>
    </row>
    <row r="3220" spans="5:5" x14ac:dyDescent="0.25">
      <c r="E3220" s="3" t="str">
        <f t="shared" si="50"/>
        <v/>
      </c>
    </row>
    <row r="3221" spans="5:5" x14ac:dyDescent="0.25">
      <c r="E3221" s="3" t="str">
        <f t="shared" si="50"/>
        <v/>
      </c>
    </row>
    <row r="3222" spans="5:5" x14ac:dyDescent="0.25">
      <c r="E3222" s="3" t="str">
        <f t="shared" si="50"/>
        <v/>
      </c>
    </row>
    <row r="3223" spans="5:5" x14ac:dyDescent="0.25">
      <c r="E3223" s="3" t="str">
        <f t="shared" si="50"/>
        <v/>
      </c>
    </row>
    <row r="3224" spans="5:5" x14ac:dyDescent="0.25">
      <c r="E3224" s="3" t="str">
        <f t="shared" si="50"/>
        <v/>
      </c>
    </row>
    <row r="3225" spans="5:5" x14ac:dyDescent="0.25">
      <c r="E3225" s="3" t="str">
        <f t="shared" si="50"/>
        <v/>
      </c>
    </row>
    <row r="3226" spans="5:5" x14ac:dyDescent="0.25">
      <c r="E3226" s="3" t="str">
        <f t="shared" si="50"/>
        <v/>
      </c>
    </row>
    <row r="3227" spans="5:5" x14ac:dyDescent="0.25">
      <c r="E3227" s="3" t="str">
        <f t="shared" si="50"/>
        <v/>
      </c>
    </row>
    <row r="3228" spans="5:5" x14ac:dyDescent="0.25">
      <c r="E3228" s="3" t="str">
        <f t="shared" si="50"/>
        <v/>
      </c>
    </row>
    <row r="3229" spans="5:5" x14ac:dyDescent="0.25">
      <c r="E3229" s="3" t="str">
        <f t="shared" si="50"/>
        <v/>
      </c>
    </row>
    <row r="3230" spans="5:5" x14ac:dyDescent="0.25">
      <c r="E3230" s="3" t="str">
        <f t="shared" si="50"/>
        <v/>
      </c>
    </row>
    <row r="3231" spans="5:5" x14ac:dyDescent="0.25">
      <c r="E3231" s="3" t="str">
        <f t="shared" si="50"/>
        <v/>
      </c>
    </row>
    <row r="3232" spans="5:5" x14ac:dyDescent="0.25">
      <c r="E3232" s="3" t="str">
        <f t="shared" si="50"/>
        <v/>
      </c>
    </row>
    <row r="3233" spans="5:5" x14ac:dyDescent="0.25">
      <c r="E3233" s="3" t="str">
        <f t="shared" si="50"/>
        <v/>
      </c>
    </row>
    <row r="3234" spans="5:5" x14ac:dyDescent="0.25">
      <c r="E3234" s="3" t="str">
        <f t="shared" si="50"/>
        <v/>
      </c>
    </row>
    <row r="3235" spans="5:5" x14ac:dyDescent="0.25">
      <c r="E3235" s="3" t="str">
        <f t="shared" si="50"/>
        <v/>
      </c>
    </row>
    <row r="3236" spans="5:5" x14ac:dyDescent="0.25">
      <c r="E3236" s="3" t="str">
        <f t="shared" si="50"/>
        <v/>
      </c>
    </row>
    <row r="3237" spans="5:5" x14ac:dyDescent="0.25">
      <c r="E3237" s="3" t="str">
        <f t="shared" si="50"/>
        <v/>
      </c>
    </row>
    <row r="3238" spans="5:5" x14ac:dyDescent="0.25">
      <c r="E3238" s="3" t="str">
        <f t="shared" si="50"/>
        <v/>
      </c>
    </row>
    <row r="3239" spans="5:5" x14ac:dyDescent="0.25">
      <c r="E3239" s="3" t="str">
        <f t="shared" si="50"/>
        <v/>
      </c>
    </row>
    <row r="3240" spans="5:5" x14ac:dyDescent="0.25">
      <c r="E3240" s="3" t="str">
        <f t="shared" si="50"/>
        <v/>
      </c>
    </row>
    <row r="3241" spans="5:5" x14ac:dyDescent="0.25">
      <c r="E3241" s="3" t="str">
        <f t="shared" si="50"/>
        <v/>
      </c>
    </row>
    <row r="3242" spans="5:5" x14ac:dyDescent="0.25">
      <c r="E3242" s="3" t="str">
        <f t="shared" si="50"/>
        <v/>
      </c>
    </row>
    <row r="3243" spans="5:5" x14ac:dyDescent="0.25">
      <c r="E3243" s="3" t="str">
        <f t="shared" si="50"/>
        <v/>
      </c>
    </row>
    <row r="3244" spans="5:5" x14ac:dyDescent="0.25">
      <c r="E3244" s="3" t="str">
        <f t="shared" si="50"/>
        <v/>
      </c>
    </row>
    <row r="3245" spans="5:5" x14ac:dyDescent="0.25">
      <c r="E3245" s="3" t="str">
        <f t="shared" si="50"/>
        <v/>
      </c>
    </row>
    <row r="3246" spans="5:5" x14ac:dyDescent="0.25">
      <c r="E3246" s="3" t="str">
        <f t="shared" si="50"/>
        <v/>
      </c>
    </row>
    <row r="3247" spans="5:5" x14ac:dyDescent="0.25">
      <c r="E3247" s="3" t="str">
        <f t="shared" si="50"/>
        <v/>
      </c>
    </row>
    <row r="3248" spans="5:5" x14ac:dyDescent="0.25">
      <c r="E3248" s="3" t="str">
        <f t="shared" si="50"/>
        <v/>
      </c>
    </row>
    <row r="3249" spans="5:5" x14ac:dyDescent="0.25">
      <c r="E3249" s="3" t="str">
        <f t="shared" si="50"/>
        <v/>
      </c>
    </row>
    <row r="3250" spans="5:5" x14ac:dyDescent="0.25">
      <c r="E3250" s="3" t="str">
        <f t="shared" si="50"/>
        <v/>
      </c>
    </row>
    <row r="3251" spans="5:5" x14ac:dyDescent="0.25">
      <c r="E3251" s="3" t="str">
        <f t="shared" si="50"/>
        <v/>
      </c>
    </row>
    <row r="3252" spans="5:5" x14ac:dyDescent="0.25">
      <c r="E3252" s="3" t="str">
        <f t="shared" si="50"/>
        <v/>
      </c>
    </row>
    <row r="3253" spans="5:5" x14ac:dyDescent="0.25">
      <c r="E3253" s="3" t="str">
        <f t="shared" si="50"/>
        <v/>
      </c>
    </row>
    <row r="3254" spans="5:5" x14ac:dyDescent="0.25">
      <c r="E3254" s="3" t="str">
        <f t="shared" si="50"/>
        <v/>
      </c>
    </row>
    <row r="3255" spans="5:5" x14ac:dyDescent="0.25">
      <c r="E3255" s="3" t="str">
        <f t="shared" si="50"/>
        <v/>
      </c>
    </row>
    <row r="3256" spans="5:5" x14ac:dyDescent="0.25">
      <c r="E3256" s="3" t="str">
        <f t="shared" si="50"/>
        <v/>
      </c>
    </row>
    <row r="3257" spans="5:5" x14ac:dyDescent="0.25">
      <c r="E3257" s="3" t="str">
        <f t="shared" si="50"/>
        <v/>
      </c>
    </row>
    <row r="3258" spans="5:5" x14ac:dyDescent="0.25">
      <c r="E3258" s="3" t="str">
        <f t="shared" si="50"/>
        <v/>
      </c>
    </row>
    <row r="3259" spans="5:5" x14ac:dyDescent="0.25">
      <c r="E3259" s="3" t="str">
        <f t="shared" si="50"/>
        <v/>
      </c>
    </row>
    <row r="3260" spans="5:5" x14ac:dyDescent="0.25">
      <c r="E3260" s="3" t="str">
        <f t="shared" si="50"/>
        <v/>
      </c>
    </row>
    <row r="3261" spans="5:5" x14ac:dyDescent="0.25">
      <c r="E3261" s="3" t="str">
        <f t="shared" si="50"/>
        <v/>
      </c>
    </row>
    <row r="3262" spans="5:5" x14ac:dyDescent="0.25">
      <c r="E3262" s="3" t="str">
        <f t="shared" si="50"/>
        <v/>
      </c>
    </row>
    <row r="3263" spans="5:5" x14ac:dyDescent="0.25">
      <c r="E3263" s="3" t="str">
        <f t="shared" si="50"/>
        <v/>
      </c>
    </row>
    <row r="3264" spans="5:5" x14ac:dyDescent="0.25">
      <c r="E3264" s="3" t="str">
        <f t="shared" si="50"/>
        <v/>
      </c>
    </row>
    <row r="3265" spans="5:5" x14ac:dyDescent="0.25">
      <c r="E3265" s="3" t="str">
        <f t="shared" si="50"/>
        <v/>
      </c>
    </row>
    <row r="3266" spans="5:5" x14ac:dyDescent="0.25">
      <c r="E3266" s="3" t="str">
        <f t="shared" si="50"/>
        <v/>
      </c>
    </row>
    <row r="3267" spans="5:5" x14ac:dyDescent="0.25">
      <c r="E3267" s="3" t="str">
        <f t="shared" ref="E3267:E3330" si="51">IF(COUNTIF(C$3:C$5000,C3267)&gt;1,"DUPLICADO","")</f>
        <v/>
      </c>
    </row>
    <row r="3268" spans="5:5" x14ac:dyDescent="0.25">
      <c r="E3268" s="3" t="str">
        <f t="shared" si="51"/>
        <v/>
      </c>
    </row>
    <row r="3269" spans="5:5" x14ac:dyDescent="0.25">
      <c r="E3269" s="3" t="str">
        <f t="shared" si="51"/>
        <v/>
      </c>
    </row>
    <row r="3270" spans="5:5" x14ac:dyDescent="0.25">
      <c r="E3270" s="3" t="str">
        <f t="shared" si="51"/>
        <v/>
      </c>
    </row>
    <row r="3271" spans="5:5" x14ac:dyDescent="0.25">
      <c r="E3271" s="3" t="str">
        <f t="shared" si="51"/>
        <v/>
      </c>
    </row>
    <row r="3272" spans="5:5" x14ac:dyDescent="0.25">
      <c r="E3272" s="3" t="str">
        <f t="shared" si="51"/>
        <v/>
      </c>
    </row>
    <row r="3273" spans="5:5" x14ac:dyDescent="0.25">
      <c r="E3273" s="3" t="str">
        <f t="shared" si="51"/>
        <v/>
      </c>
    </row>
    <row r="3274" spans="5:5" x14ac:dyDescent="0.25">
      <c r="E3274" s="3" t="str">
        <f t="shared" si="51"/>
        <v/>
      </c>
    </row>
    <row r="3275" spans="5:5" x14ac:dyDescent="0.25">
      <c r="E3275" s="3" t="str">
        <f t="shared" si="51"/>
        <v/>
      </c>
    </row>
    <row r="3276" spans="5:5" x14ac:dyDescent="0.25">
      <c r="E3276" s="3" t="str">
        <f t="shared" si="51"/>
        <v/>
      </c>
    </row>
    <row r="3277" spans="5:5" x14ac:dyDescent="0.25">
      <c r="E3277" s="3" t="str">
        <f t="shared" si="51"/>
        <v/>
      </c>
    </row>
    <row r="3278" spans="5:5" x14ac:dyDescent="0.25">
      <c r="E3278" s="3" t="str">
        <f t="shared" si="51"/>
        <v/>
      </c>
    </row>
    <row r="3279" spans="5:5" x14ac:dyDescent="0.25">
      <c r="E3279" s="3" t="str">
        <f t="shared" si="51"/>
        <v/>
      </c>
    </row>
    <row r="3280" spans="5:5" x14ac:dyDescent="0.25">
      <c r="E3280" s="3" t="str">
        <f t="shared" si="51"/>
        <v/>
      </c>
    </row>
    <row r="3281" spans="5:5" x14ac:dyDescent="0.25">
      <c r="E3281" s="3" t="str">
        <f t="shared" si="51"/>
        <v/>
      </c>
    </row>
    <row r="3282" spans="5:5" x14ac:dyDescent="0.25">
      <c r="E3282" s="3" t="str">
        <f t="shared" si="51"/>
        <v/>
      </c>
    </row>
    <row r="3283" spans="5:5" x14ac:dyDescent="0.25">
      <c r="E3283" s="3" t="str">
        <f t="shared" si="51"/>
        <v/>
      </c>
    </row>
    <row r="3284" spans="5:5" x14ac:dyDescent="0.25">
      <c r="E3284" s="3" t="str">
        <f t="shared" si="51"/>
        <v/>
      </c>
    </row>
    <row r="3285" spans="5:5" x14ac:dyDescent="0.25">
      <c r="E3285" s="3" t="str">
        <f t="shared" si="51"/>
        <v/>
      </c>
    </row>
    <row r="3286" spans="5:5" x14ac:dyDescent="0.25">
      <c r="E3286" s="3" t="str">
        <f t="shared" si="51"/>
        <v/>
      </c>
    </row>
    <row r="3287" spans="5:5" x14ac:dyDescent="0.25">
      <c r="E3287" s="3" t="str">
        <f t="shared" si="51"/>
        <v/>
      </c>
    </row>
    <row r="3288" spans="5:5" x14ac:dyDescent="0.25">
      <c r="E3288" s="3" t="str">
        <f t="shared" si="51"/>
        <v/>
      </c>
    </row>
    <row r="3289" spans="5:5" x14ac:dyDescent="0.25">
      <c r="E3289" s="3" t="str">
        <f t="shared" si="51"/>
        <v/>
      </c>
    </row>
    <row r="3290" spans="5:5" x14ac:dyDescent="0.25">
      <c r="E3290" s="3" t="str">
        <f t="shared" si="51"/>
        <v/>
      </c>
    </row>
    <row r="3291" spans="5:5" x14ac:dyDescent="0.25">
      <c r="E3291" s="3" t="str">
        <f t="shared" si="51"/>
        <v/>
      </c>
    </row>
    <row r="3292" spans="5:5" x14ac:dyDescent="0.25">
      <c r="E3292" s="3" t="str">
        <f t="shared" si="51"/>
        <v/>
      </c>
    </row>
    <row r="3293" spans="5:5" x14ac:dyDescent="0.25">
      <c r="E3293" s="3" t="str">
        <f t="shared" si="51"/>
        <v/>
      </c>
    </row>
    <row r="3294" spans="5:5" x14ac:dyDescent="0.25">
      <c r="E3294" s="3" t="str">
        <f t="shared" si="51"/>
        <v/>
      </c>
    </row>
    <row r="3295" spans="5:5" x14ac:dyDescent="0.25">
      <c r="E3295" s="3" t="str">
        <f t="shared" si="51"/>
        <v/>
      </c>
    </row>
    <row r="3296" spans="5:5" x14ac:dyDescent="0.25">
      <c r="E3296" s="3" t="str">
        <f t="shared" si="51"/>
        <v/>
      </c>
    </row>
    <row r="3297" spans="5:5" x14ac:dyDescent="0.25">
      <c r="E3297" s="3" t="str">
        <f t="shared" si="51"/>
        <v/>
      </c>
    </row>
    <row r="3298" spans="5:5" x14ac:dyDescent="0.25">
      <c r="E3298" s="3" t="str">
        <f t="shared" si="51"/>
        <v/>
      </c>
    </row>
    <row r="3299" spans="5:5" x14ac:dyDescent="0.25">
      <c r="E3299" s="3" t="str">
        <f t="shared" si="51"/>
        <v/>
      </c>
    </row>
    <row r="3300" spans="5:5" x14ac:dyDescent="0.25">
      <c r="E3300" s="3" t="str">
        <f t="shared" si="51"/>
        <v/>
      </c>
    </row>
    <row r="3301" spans="5:5" x14ac:dyDescent="0.25">
      <c r="E3301" s="3" t="str">
        <f t="shared" si="51"/>
        <v/>
      </c>
    </row>
    <row r="3302" spans="5:5" x14ac:dyDescent="0.25">
      <c r="E3302" s="3" t="str">
        <f t="shared" si="51"/>
        <v/>
      </c>
    </row>
    <row r="3303" spans="5:5" x14ac:dyDescent="0.25">
      <c r="E3303" s="3" t="str">
        <f t="shared" si="51"/>
        <v/>
      </c>
    </row>
    <row r="3304" spans="5:5" x14ac:dyDescent="0.25">
      <c r="E3304" s="3" t="str">
        <f t="shared" si="51"/>
        <v/>
      </c>
    </row>
    <row r="3305" spans="5:5" x14ac:dyDescent="0.25">
      <c r="E3305" s="3" t="str">
        <f t="shared" si="51"/>
        <v/>
      </c>
    </row>
    <row r="3306" spans="5:5" x14ac:dyDescent="0.25">
      <c r="E3306" s="3" t="str">
        <f t="shared" si="51"/>
        <v/>
      </c>
    </row>
    <row r="3307" spans="5:5" x14ac:dyDescent="0.25">
      <c r="E3307" s="3" t="str">
        <f t="shared" si="51"/>
        <v/>
      </c>
    </row>
    <row r="3308" spans="5:5" x14ac:dyDescent="0.25">
      <c r="E3308" s="3" t="str">
        <f t="shared" si="51"/>
        <v/>
      </c>
    </row>
    <row r="3309" spans="5:5" x14ac:dyDescent="0.25">
      <c r="E3309" s="3" t="str">
        <f t="shared" si="51"/>
        <v/>
      </c>
    </row>
    <row r="3310" spans="5:5" x14ac:dyDescent="0.25">
      <c r="E3310" s="3" t="str">
        <f t="shared" si="51"/>
        <v/>
      </c>
    </row>
    <row r="3311" spans="5:5" x14ac:dyDescent="0.25">
      <c r="E3311" s="3" t="str">
        <f t="shared" si="51"/>
        <v/>
      </c>
    </row>
    <row r="3312" spans="5:5" x14ac:dyDescent="0.25">
      <c r="E3312" s="3" t="str">
        <f t="shared" si="51"/>
        <v/>
      </c>
    </row>
    <row r="3313" spans="5:5" x14ac:dyDescent="0.25">
      <c r="E3313" s="3" t="str">
        <f t="shared" si="51"/>
        <v/>
      </c>
    </row>
    <row r="3314" spans="5:5" x14ac:dyDescent="0.25">
      <c r="E3314" s="3" t="str">
        <f t="shared" si="51"/>
        <v/>
      </c>
    </row>
    <row r="3315" spans="5:5" x14ac:dyDescent="0.25">
      <c r="E3315" s="3" t="str">
        <f t="shared" si="51"/>
        <v/>
      </c>
    </row>
    <row r="3316" spans="5:5" x14ac:dyDescent="0.25">
      <c r="E3316" s="3" t="str">
        <f t="shared" si="51"/>
        <v/>
      </c>
    </row>
    <row r="3317" spans="5:5" x14ac:dyDescent="0.25">
      <c r="E3317" s="3" t="str">
        <f t="shared" si="51"/>
        <v/>
      </c>
    </row>
    <row r="3318" spans="5:5" x14ac:dyDescent="0.25">
      <c r="E3318" s="3" t="str">
        <f t="shared" si="51"/>
        <v/>
      </c>
    </row>
    <row r="3319" spans="5:5" x14ac:dyDescent="0.25">
      <c r="E3319" s="3" t="str">
        <f t="shared" si="51"/>
        <v/>
      </c>
    </row>
    <row r="3320" spans="5:5" x14ac:dyDescent="0.25">
      <c r="E3320" s="3" t="str">
        <f t="shared" si="51"/>
        <v/>
      </c>
    </row>
    <row r="3321" spans="5:5" x14ac:dyDescent="0.25">
      <c r="E3321" s="3" t="str">
        <f t="shared" si="51"/>
        <v/>
      </c>
    </row>
    <row r="3322" spans="5:5" x14ac:dyDescent="0.25">
      <c r="E3322" s="3" t="str">
        <f t="shared" si="51"/>
        <v/>
      </c>
    </row>
    <row r="3323" spans="5:5" x14ac:dyDescent="0.25">
      <c r="E3323" s="3" t="str">
        <f t="shared" si="51"/>
        <v/>
      </c>
    </row>
    <row r="3324" spans="5:5" x14ac:dyDescent="0.25">
      <c r="E3324" s="3" t="str">
        <f t="shared" si="51"/>
        <v/>
      </c>
    </row>
    <row r="3325" spans="5:5" x14ac:dyDescent="0.25">
      <c r="E3325" s="3" t="str">
        <f t="shared" si="51"/>
        <v/>
      </c>
    </row>
    <row r="3326" spans="5:5" x14ac:dyDescent="0.25">
      <c r="E3326" s="3" t="str">
        <f t="shared" si="51"/>
        <v/>
      </c>
    </row>
    <row r="3327" spans="5:5" x14ac:dyDescent="0.25">
      <c r="E3327" s="3" t="str">
        <f t="shared" si="51"/>
        <v/>
      </c>
    </row>
    <row r="3328" spans="5:5" x14ac:dyDescent="0.25">
      <c r="E3328" s="3" t="str">
        <f t="shared" si="51"/>
        <v/>
      </c>
    </row>
    <row r="3329" spans="5:5" x14ac:dyDescent="0.25">
      <c r="E3329" s="3" t="str">
        <f t="shared" si="51"/>
        <v/>
      </c>
    </row>
    <row r="3330" spans="5:5" x14ac:dyDescent="0.25">
      <c r="E3330" s="3" t="str">
        <f t="shared" si="51"/>
        <v/>
      </c>
    </row>
    <row r="3331" spans="5:5" x14ac:dyDescent="0.25">
      <c r="E3331" s="3" t="str">
        <f t="shared" ref="E3331:E3394" si="52">IF(COUNTIF(C$3:C$5000,C3331)&gt;1,"DUPLICADO","")</f>
        <v/>
      </c>
    </row>
    <row r="3332" spans="5:5" x14ac:dyDescent="0.25">
      <c r="E3332" s="3" t="str">
        <f t="shared" si="52"/>
        <v/>
      </c>
    </row>
    <row r="3333" spans="5:5" x14ac:dyDescent="0.25">
      <c r="E3333" s="3" t="str">
        <f t="shared" si="52"/>
        <v/>
      </c>
    </row>
    <row r="3334" spans="5:5" x14ac:dyDescent="0.25">
      <c r="E3334" s="3" t="str">
        <f t="shared" si="52"/>
        <v/>
      </c>
    </row>
    <row r="3335" spans="5:5" x14ac:dyDescent="0.25">
      <c r="E3335" s="3" t="str">
        <f t="shared" si="52"/>
        <v/>
      </c>
    </row>
    <row r="3336" spans="5:5" x14ac:dyDescent="0.25">
      <c r="E3336" s="3" t="str">
        <f t="shared" si="52"/>
        <v/>
      </c>
    </row>
    <row r="3337" spans="5:5" x14ac:dyDescent="0.25">
      <c r="E3337" s="3" t="str">
        <f t="shared" si="52"/>
        <v/>
      </c>
    </row>
    <row r="3338" spans="5:5" x14ac:dyDescent="0.25">
      <c r="E3338" s="3" t="str">
        <f t="shared" si="52"/>
        <v/>
      </c>
    </row>
    <row r="3339" spans="5:5" x14ac:dyDescent="0.25">
      <c r="E3339" s="3" t="str">
        <f t="shared" si="52"/>
        <v/>
      </c>
    </row>
    <row r="3340" spans="5:5" x14ac:dyDescent="0.25">
      <c r="E3340" s="3" t="str">
        <f t="shared" si="52"/>
        <v/>
      </c>
    </row>
    <row r="3341" spans="5:5" x14ac:dyDescent="0.25">
      <c r="E3341" s="3" t="str">
        <f t="shared" si="52"/>
        <v/>
      </c>
    </row>
    <row r="3342" spans="5:5" x14ac:dyDescent="0.25">
      <c r="E3342" s="3" t="str">
        <f t="shared" si="52"/>
        <v/>
      </c>
    </row>
    <row r="3343" spans="5:5" x14ac:dyDescent="0.25">
      <c r="E3343" s="3" t="str">
        <f t="shared" si="52"/>
        <v/>
      </c>
    </row>
    <row r="3344" spans="5:5" x14ac:dyDescent="0.25">
      <c r="E3344" s="3" t="str">
        <f t="shared" si="52"/>
        <v/>
      </c>
    </row>
    <row r="3345" spans="5:5" x14ac:dyDescent="0.25">
      <c r="E3345" s="3" t="str">
        <f t="shared" si="52"/>
        <v/>
      </c>
    </row>
    <row r="3346" spans="5:5" x14ac:dyDescent="0.25">
      <c r="E3346" s="3" t="str">
        <f t="shared" si="52"/>
        <v/>
      </c>
    </row>
    <row r="3347" spans="5:5" x14ac:dyDescent="0.25">
      <c r="E3347" s="3" t="str">
        <f t="shared" si="52"/>
        <v/>
      </c>
    </row>
    <row r="3348" spans="5:5" x14ac:dyDescent="0.25">
      <c r="E3348" s="3" t="str">
        <f t="shared" si="52"/>
        <v/>
      </c>
    </row>
    <row r="3349" spans="5:5" x14ac:dyDescent="0.25">
      <c r="E3349" s="3" t="str">
        <f t="shared" si="52"/>
        <v/>
      </c>
    </row>
    <row r="3350" spans="5:5" x14ac:dyDescent="0.25">
      <c r="E3350" s="3" t="str">
        <f t="shared" si="52"/>
        <v/>
      </c>
    </row>
    <row r="3351" spans="5:5" x14ac:dyDescent="0.25">
      <c r="E3351" s="3" t="str">
        <f t="shared" si="52"/>
        <v/>
      </c>
    </row>
    <row r="3352" spans="5:5" x14ac:dyDescent="0.25">
      <c r="E3352" s="3" t="str">
        <f t="shared" si="52"/>
        <v/>
      </c>
    </row>
    <row r="3353" spans="5:5" x14ac:dyDescent="0.25">
      <c r="E3353" s="3" t="str">
        <f t="shared" si="52"/>
        <v/>
      </c>
    </row>
    <row r="3354" spans="5:5" x14ac:dyDescent="0.25">
      <c r="E3354" s="3" t="str">
        <f t="shared" si="52"/>
        <v/>
      </c>
    </row>
    <row r="3355" spans="5:5" x14ac:dyDescent="0.25">
      <c r="E3355" s="3" t="str">
        <f t="shared" si="52"/>
        <v/>
      </c>
    </row>
    <row r="3356" spans="5:5" x14ac:dyDescent="0.25">
      <c r="E3356" s="3" t="str">
        <f t="shared" si="52"/>
        <v/>
      </c>
    </row>
    <row r="3357" spans="5:5" x14ac:dyDescent="0.25">
      <c r="E3357" s="3" t="str">
        <f t="shared" si="52"/>
        <v/>
      </c>
    </row>
    <row r="3358" spans="5:5" x14ac:dyDescent="0.25">
      <c r="E3358" s="3" t="str">
        <f t="shared" si="52"/>
        <v/>
      </c>
    </row>
    <row r="3359" spans="5:5" x14ac:dyDescent="0.25">
      <c r="E3359" s="3" t="str">
        <f t="shared" si="52"/>
        <v/>
      </c>
    </row>
    <row r="3360" spans="5:5" x14ac:dyDescent="0.25">
      <c r="E3360" s="3" t="str">
        <f t="shared" si="52"/>
        <v/>
      </c>
    </row>
    <row r="3361" spans="5:5" x14ac:dyDescent="0.25">
      <c r="E3361" s="3" t="str">
        <f t="shared" si="52"/>
        <v/>
      </c>
    </row>
    <row r="3362" spans="5:5" x14ac:dyDescent="0.25">
      <c r="E3362" s="3" t="str">
        <f t="shared" si="52"/>
        <v/>
      </c>
    </row>
    <row r="3363" spans="5:5" x14ac:dyDescent="0.25">
      <c r="E3363" s="3" t="str">
        <f t="shared" si="52"/>
        <v/>
      </c>
    </row>
    <row r="3364" spans="5:5" x14ac:dyDescent="0.25">
      <c r="E3364" s="3" t="str">
        <f t="shared" si="52"/>
        <v/>
      </c>
    </row>
    <row r="3365" spans="5:5" x14ac:dyDescent="0.25">
      <c r="E3365" s="3" t="str">
        <f t="shared" si="52"/>
        <v/>
      </c>
    </row>
    <row r="3366" spans="5:5" x14ac:dyDescent="0.25">
      <c r="E3366" s="3" t="str">
        <f t="shared" si="52"/>
        <v/>
      </c>
    </row>
    <row r="3367" spans="5:5" x14ac:dyDescent="0.25">
      <c r="E3367" s="3" t="str">
        <f t="shared" si="52"/>
        <v/>
      </c>
    </row>
    <row r="3368" spans="5:5" x14ac:dyDescent="0.25">
      <c r="E3368" s="3" t="str">
        <f t="shared" si="52"/>
        <v/>
      </c>
    </row>
    <row r="3369" spans="5:5" x14ac:dyDescent="0.25">
      <c r="E3369" s="3" t="str">
        <f t="shared" si="52"/>
        <v/>
      </c>
    </row>
    <row r="3370" spans="5:5" x14ac:dyDescent="0.25">
      <c r="E3370" s="3" t="str">
        <f t="shared" si="52"/>
        <v/>
      </c>
    </row>
    <row r="3371" spans="5:5" x14ac:dyDescent="0.25">
      <c r="E3371" s="3" t="str">
        <f t="shared" si="52"/>
        <v/>
      </c>
    </row>
    <row r="3372" spans="5:5" x14ac:dyDescent="0.25">
      <c r="E3372" s="3" t="str">
        <f t="shared" si="52"/>
        <v/>
      </c>
    </row>
    <row r="3373" spans="5:5" x14ac:dyDescent="0.25">
      <c r="E3373" s="3" t="str">
        <f t="shared" si="52"/>
        <v/>
      </c>
    </row>
    <row r="3374" spans="5:5" x14ac:dyDescent="0.25">
      <c r="E3374" s="3" t="str">
        <f t="shared" si="52"/>
        <v/>
      </c>
    </row>
    <row r="3375" spans="5:5" x14ac:dyDescent="0.25">
      <c r="E3375" s="3" t="str">
        <f t="shared" si="52"/>
        <v/>
      </c>
    </row>
    <row r="3376" spans="5:5" x14ac:dyDescent="0.25">
      <c r="E3376" s="3" t="str">
        <f t="shared" si="52"/>
        <v/>
      </c>
    </row>
    <row r="3377" spans="5:5" x14ac:dyDescent="0.25">
      <c r="E3377" s="3" t="str">
        <f t="shared" si="52"/>
        <v/>
      </c>
    </row>
    <row r="3378" spans="5:5" x14ac:dyDescent="0.25">
      <c r="E3378" s="3" t="str">
        <f t="shared" si="52"/>
        <v/>
      </c>
    </row>
    <row r="3379" spans="5:5" x14ac:dyDescent="0.25">
      <c r="E3379" s="3" t="str">
        <f t="shared" si="52"/>
        <v/>
      </c>
    </row>
    <row r="3380" spans="5:5" x14ac:dyDescent="0.25">
      <c r="E3380" s="3" t="str">
        <f t="shared" si="52"/>
        <v/>
      </c>
    </row>
    <row r="3381" spans="5:5" x14ac:dyDescent="0.25">
      <c r="E3381" s="3" t="str">
        <f t="shared" si="52"/>
        <v/>
      </c>
    </row>
    <row r="3382" spans="5:5" x14ac:dyDescent="0.25">
      <c r="E3382" s="3" t="str">
        <f t="shared" si="52"/>
        <v/>
      </c>
    </row>
    <row r="3383" spans="5:5" x14ac:dyDescent="0.25">
      <c r="E3383" s="3" t="str">
        <f t="shared" si="52"/>
        <v/>
      </c>
    </row>
    <row r="3384" spans="5:5" x14ac:dyDescent="0.25">
      <c r="E3384" s="3" t="str">
        <f t="shared" si="52"/>
        <v/>
      </c>
    </row>
    <row r="3385" spans="5:5" x14ac:dyDescent="0.25">
      <c r="E3385" s="3" t="str">
        <f t="shared" si="52"/>
        <v/>
      </c>
    </row>
    <row r="3386" spans="5:5" x14ac:dyDescent="0.25">
      <c r="E3386" s="3" t="str">
        <f t="shared" si="52"/>
        <v/>
      </c>
    </row>
    <row r="3387" spans="5:5" x14ac:dyDescent="0.25">
      <c r="E3387" s="3" t="str">
        <f t="shared" si="52"/>
        <v/>
      </c>
    </row>
    <row r="3388" spans="5:5" x14ac:dyDescent="0.25">
      <c r="E3388" s="3" t="str">
        <f t="shared" si="52"/>
        <v/>
      </c>
    </row>
    <row r="3389" spans="5:5" x14ac:dyDescent="0.25">
      <c r="E3389" s="3" t="str">
        <f t="shared" si="52"/>
        <v/>
      </c>
    </row>
    <row r="3390" spans="5:5" x14ac:dyDescent="0.25">
      <c r="E3390" s="3" t="str">
        <f t="shared" si="52"/>
        <v/>
      </c>
    </row>
    <row r="3391" spans="5:5" x14ac:dyDescent="0.25">
      <c r="E3391" s="3" t="str">
        <f t="shared" si="52"/>
        <v/>
      </c>
    </row>
    <row r="3392" spans="5:5" x14ac:dyDescent="0.25">
      <c r="E3392" s="3" t="str">
        <f t="shared" si="52"/>
        <v/>
      </c>
    </row>
    <row r="3393" spans="5:5" x14ac:dyDescent="0.25">
      <c r="E3393" s="3" t="str">
        <f t="shared" si="52"/>
        <v/>
      </c>
    </row>
    <row r="3394" spans="5:5" x14ac:dyDescent="0.25">
      <c r="E3394" s="3" t="str">
        <f t="shared" si="52"/>
        <v/>
      </c>
    </row>
    <row r="3395" spans="5:5" x14ac:dyDescent="0.25">
      <c r="E3395" s="3" t="str">
        <f t="shared" ref="E3395:E3458" si="53">IF(COUNTIF(C$3:C$5000,C3395)&gt;1,"DUPLICADO","")</f>
        <v/>
      </c>
    </row>
    <row r="3396" spans="5:5" x14ac:dyDescent="0.25">
      <c r="E3396" s="3" t="str">
        <f t="shared" si="53"/>
        <v/>
      </c>
    </row>
    <row r="3397" spans="5:5" x14ac:dyDescent="0.25">
      <c r="E3397" s="3" t="str">
        <f t="shared" si="53"/>
        <v/>
      </c>
    </row>
    <row r="3398" spans="5:5" x14ac:dyDescent="0.25">
      <c r="E3398" s="3" t="str">
        <f t="shared" si="53"/>
        <v/>
      </c>
    </row>
    <row r="3399" spans="5:5" x14ac:dyDescent="0.25">
      <c r="E3399" s="3" t="str">
        <f t="shared" si="53"/>
        <v/>
      </c>
    </row>
    <row r="3400" spans="5:5" x14ac:dyDescent="0.25">
      <c r="E3400" s="3" t="str">
        <f t="shared" si="53"/>
        <v/>
      </c>
    </row>
    <row r="3401" spans="5:5" x14ac:dyDescent="0.25">
      <c r="E3401" s="3" t="str">
        <f t="shared" si="53"/>
        <v/>
      </c>
    </row>
    <row r="3402" spans="5:5" x14ac:dyDescent="0.25">
      <c r="E3402" s="3" t="str">
        <f t="shared" si="53"/>
        <v/>
      </c>
    </row>
    <row r="3403" spans="5:5" x14ac:dyDescent="0.25">
      <c r="E3403" s="3" t="str">
        <f t="shared" si="53"/>
        <v/>
      </c>
    </row>
    <row r="3404" spans="5:5" x14ac:dyDescent="0.25">
      <c r="E3404" s="3" t="str">
        <f t="shared" si="53"/>
        <v/>
      </c>
    </row>
    <row r="3405" spans="5:5" x14ac:dyDescent="0.25">
      <c r="E3405" s="3" t="str">
        <f t="shared" si="53"/>
        <v/>
      </c>
    </row>
    <row r="3406" spans="5:5" x14ac:dyDescent="0.25">
      <c r="E3406" s="3" t="str">
        <f t="shared" si="53"/>
        <v/>
      </c>
    </row>
    <row r="3407" spans="5:5" x14ac:dyDescent="0.25">
      <c r="E3407" s="3" t="str">
        <f t="shared" si="53"/>
        <v/>
      </c>
    </row>
    <row r="3408" spans="5:5" x14ac:dyDescent="0.25">
      <c r="E3408" s="3" t="str">
        <f t="shared" si="53"/>
        <v/>
      </c>
    </row>
    <row r="3409" spans="5:5" x14ac:dyDescent="0.25">
      <c r="E3409" s="3" t="str">
        <f t="shared" si="53"/>
        <v/>
      </c>
    </row>
    <row r="3410" spans="5:5" x14ac:dyDescent="0.25">
      <c r="E3410" s="3" t="str">
        <f t="shared" si="53"/>
        <v/>
      </c>
    </row>
    <row r="3411" spans="5:5" x14ac:dyDescent="0.25">
      <c r="E3411" s="3" t="str">
        <f t="shared" si="53"/>
        <v/>
      </c>
    </row>
    <row r="3412" spans="5:5" x14ac:dyDescent="0.25">
      <c r="E3412" s="3" t="str">
        <f t="shared" si="53"/>
        <v/>
      </c>
    </row>
    <row r="3413" spans="5:5" x14ac:dyDescent="0.25">
      <c r="E3413" s="3" t="str">
        <f t="shared" si="53"/>
        <v/>
      </c>
    </row>
    <row r="3414" spans="5:5" x14ac:dyDescent="0.25">
      <c r="E3414" s="3" t="str">
        <f t="shared" si="53"/>
        <v/>
      </c>
    </row>
    <row r="3415" spans="5:5" x14ac:dyDescent="0.25">
      <c r="E3415" s="3" t="str">
        <f t="shared" si="53"/>
        <v/>
      </c>
    </row>
    <row r="3416" spans="5:5" x14ac:dyDescent="0.25">
      <c r="E3416" s="3" t="str">
        <f t="shared" si="53"/>
        <v/>
      </c>
    </row>
    <row r="3417" spans="5:5" x14ac:dyDescent="0.25">
      <c r="E3417" s="3" t="str">
        <f t="shared" si="53"/>
        <v/>
      </c>
    </row>
    <row r="3418" spans="5:5" x14ac:dyDescent="0.25">
      <c r="E3418" s="3" t="str">
        <f t="shared" si="53"/>
        <v/>
      </c>
    </row>
    <row r="3419" spans="5:5" x14ac:dyDescent="0.25">
      <c r="E3419" s="3" t="str">
        <f t="shared" si="53"/>
        <v/>
      </c>
    </row>
    <row r="3420" spans="5:5" x14ac:dyDescent="0.25">
      <c r="E3420" s="3" t="str">
        <f t="shared" si="53"/>
        <v/>
      </c>
    </row>
    <row r="3421" spans="5:5" x14ac:dyDescent="0.25">
      <c r="E3421" s="3" t="str">
        <f t="shared" si="53"/>
        <v/>
      </c>
    </row>
    <row r="3422" spans="5:5" x14ac:dyDescent="0.25">
      <c r="E3422" s="3" t="str">
        <f t="shared" si="53"/>
        <v/>
      </c>
    </row>
    <row r="3423" spans="5:5" x14ac:dyDescent="0.25">
      <c r="E3423" s="3" t="str">
        <f t="shared" si="53"/>
        <v/>
      </c>
    </row>
    <row r="3424" spans="5:5" x14ac:dyDescent="0.25">
      <c r="E3424" s="3" t="str">
        <f t="shared" si="53"/>
        <v/>
      </c>
    </row>
    <row r="3425" spans="5:5" x14ac:dyDescent="0.25">
      <c r="E3425" s="3" t="str">
        <f t="shared" si="53"/>
        <v/>
      </c>
    </row>
    <row r="3426" spans="5:5" x14ac:dyDescent="0.25">
      <c r="E3426" s="3" t="str">
        <f t="shared" si="53"/>
        <v/>
      </c>
    </row>
    <row r="3427" spans="5:5" x14ac:dyDescent="0.25">
      <c r="E3427" s="3" t="str">
        <f t="shared" si="53"/>
        <v/>
      </c>
    </row>
    <row r="3428" spans="5:5" x14ac:dyDescent="0.25">
      <c r="E3428" s="3" t="str">
        <f t="shared" si="53"/>
        <v/>
      </c>
    </row>
    <row r="3429" spans="5:5" x14ac:dyDescent="0.25">
      <c r="E3429" s="3" t="str">
        <f t="shared" si="53"/>
        <v/>
      </c>
    </row>
    <row r="3430" spans="5:5" x14ac:dyDescent="0.25">
      <c r="E3430" s="3" t="str">
        <f t="shared" si="53"/>
        <v/>
      </c>
    </row>
    <row r="3431" spans="5:5" x14ac:dyDescent="0.25">
      <c r="E3431" s="3" t="str">
        <f t="shared" si="53"/>
        <v/>
      </c>
    </row>
    <row r="3432" spans="5:5" x14ac:dyDescent="0.25">
      <c r="E3432" s="3" t="str">
        <f t="shared" si="53"/>
        <v/>
      </c>
    </row>
    <row r="3433" spans="5:5" x14ac:dyDescent="0.25">
      <c r="E3433" s="3" t="str">
        <f t="shared" si="53"/>
        <v/>
      </c>
    </row>
    <row r="3434" spans="5:5" x14ac:dyDescent="0.25">
      <c r="E3434" s="3" t="str">
        <f t="shared" si="53"/>
        <v/>
      </c>
    </row>
    <row r="3435" spans="5:5" x14ac:dyDescent="0.25">
      <c r="E3435" s="3" t="str">
        <f t="shared" si="53"/>
        <v/>
      </c>
    </row>
    <row r="3436" spans="5:5" x14ac:dyDescent="0.25">
      <c r="E3436" s="3" t="str">
        <f t="shared" si="53"/>
        <v/>
      </c>
    </row>
    <row r="3437" spans="5:5" x14ac:dyDescent="0.25">
      <c r="E3437" s="3" t="str">
        <f t="shared" si="53"/>
        <v/>
      </c>
    </row>
    <row r="3438" spans="5:5" x14ac:dyDescent="0.25">
      <c r="E3438" s="3" t="str">
        <f t="shared" si="53"/>
        <v/>
      </c>
    </row>
    <row r="3439" spans="5:5" x14ac:dyDescent="0.25">
      <c r="E3439" s="3" t="str">
        <f t="shared" si="53"/>
        <v/>
      </c>
    </row>
    <row r="3440" spans="5:5" x14ac:dyDescent="0.25">
      <c r="E3440" s="3" t="str">
        <f t="shared" si="53"/>
        <v/>
      </c>
    </row>
    <row r="3441" spans="5:5" x14ac:dyDescent="0.25">
      <c r="E3441" s="3" t="str">
        <f t="shared" si="53"/>
        <v/>
      </c>
    </row>
    <row r="3442" spans="5:5" x14ac:dyDescent="0.25">
      <c r="E3442" s="3" t="str">
        <f t="shared" si="53"/>
        <v/>
      </c>
    </row>
    <row r="3443" spans="5:5" x14ac:dyDescent="0.25">
      <c r="E3443" s="3" t="str">
        <f t="shared" si="53"/>
        <v/>
      </c>
    </row>
    <row r="3444" spans="5:5" x14ac:dyDescent="0.25">
      <c r="E3444" s="3" t="str">
        <f t="shared" si="53"/>
        <v/>
      </c>
    </row>
    <row r="3445" spans="5:5" x14ac:dyDescent="0.25">
      <c r="E3445" s="3" t="str">
        <f t="shared" si="53"/>
        <v/>
      </c>
    </row>
    <row r="3446" spans="5:5" x14ac:dyDescent="0.25">
      <c r="E3446" s="3" t="str">
        <f t="shared" si="53"/>
        <v/>
      </c>
    </row>
    <row r="3447" spans="5:5" x14ac:dyDescent="0.25">
      <c r="E3447" s="3" t="str">
        <f t="shared" si="53"/>
        <v/>
      </c>
    </row>
    <row r="3448" spans="5:5" x14ac:dyDescent="0.25">
      <c r="E3448" s="3" t="str">
        <f t="shared" si="53"/>
        <v/>
      </c>
    </row>
    <row r="3449" spans="5:5" x14ac:dyDescent="0.25">
      <c r="E3449" s="3" t="str">
        <f t="shared" si="53"/>
        <v/>
      </c>
    </row>
    <row r="3450" spans="5:5" x14ac:dyDescent="0.25">
      <c r="E3450" s="3" t="str">
        <f t="shared" si="53"/>
        <v/>
      </c>
    </row>
    <row r="3451" spans="5:5" x14ac:dyDescent="0.25">
      <c r="E3451" s="3" t="str">
        <f t="shared" si="53"/>
        <v/>
      </c>
    </row>
    <row r="3452" spans="5:5" x14ac:dyDescent="0.25">
      <c r="E3452" s="3" t="str">
        <f t="shared" si="53"/>
        <v/>
      </c>
    </row>
    <row r="3453" spans="5:5" x14ac:dyDescent="0.25">
      <c r="E3453" s="3" t="str">
        <f t="shared" si="53"/>
        <v/>
      </c>
    </row>
    <row r="3454" spans="5:5" x14ac:dyDescent="0.25">
      <c r="E3454" s="3" t="str">
        <f t="shared" si="53"/>
        <v/>
      </c>
    </row>
    <row r="3455" spans="5:5" x14ac:dyDescent="0.25">
      <c r="E3455" s="3" t="str">
        <f t="shared" si="53"/>
        <v/>
      </c>
    </row>
    <row r="3456" spans="5:5" x14ac:dyDescent="0.25">
      <c r="E3456" s="3" t="str">
        <f t="shared" si="53"/>
        <v/>
      </c>
    </row>
    <row r="3457" spans="5:5" x14ac:dyDescent="0.25">
      <c r="E3457" s="3" t="str">
        <f t="shared" si="53"/>
        <v/>
      </c>
    </row>
    <row r="3458" spans="5:5" x14ac:dyDescent="0.25">
      <c r="E3458" s="3" t="str">
        <f t="shared" si="53"/>
        <v/>
      </c>
    </row>
    <row r="3459" spans="5:5" x14ac:dyDescent="0.25">
      <c r="E3459" s="3" t="str">
        <f t="shared" ref="E3459:E3522" si="54">IF(COUNTIF(C$3:C$5000,C3459)&gt;1,"DUPLICADO","")</f>
        <v/>
      </c>
    </row>
    <row r="3460" spans="5:5" x14ac:dyDescent="0.25">
      <c r="E3460" s="3" t="str">
        <f t="shared" si="54"/>
        <v/>
      </c>
    </row>
    <row r="3461" spans="5:5" x14ac:dyDescent="0.25">
      <c r="E3461" s="3" t="str">
        <f t="shared" si="54"/>
        <v/>
      </c>
    </row>
    <row r="3462" spans="5:5" x14ac:dyDescent="0.25">
      <c r="E3462" s="3" t="str">
        <f t="shared" si="54"/>
        <v/>
      </c>
    </row>
    <row r="3463" spans="5:5" x14ac:dyDescent="0.25">
      <c r="E3463" s="3" t="str">
        <f t="shared" si="54"/>
        <v/>
      </c>
    </row>
    <row r="3464" spans="5:5" x14ac:dyDescent="0.25">
      <c r="E3464" s="3" t="str">
        <f t="shared" si="54"/>
        <v/>
      </c>
    </row>
    <row r="3465" spans="5:5" x14ac:dyDescent="0.25">
      <c r="E3465" s="3" t="str">
        <f t="shared" si="54"/>
        <v/>
      </c>
    </row>
    <row r="3466" spans="5:5" x14ac:dyDescent="0.25">
      <c r="E3466" s="3" t="str">
        <f t="shared" si="54"/>
        <v/>
      </c>
    </row>
    <row r="3467" spans="5:5" x14ac:dyDescent="0.25">
      <c r="E3467" s="3" t="str">
        <f t="shared" si="54"/>
        <v/>
      </c>
    </row>
    <row r="3468" spans="5:5" x14ac:dyDescent="0.25">
      <c r="E3468" s="3" t="str">
        <f t="shared" si="54"/>
        <v/>
      </c>
    </row>
    <row r="3469" spans="5:5" x14ac:dyDescent="0.25">
      <c r="E3469" s="3" t="str">
        <f t="shared" si="54"/>
        <v/>
      </c>
    </row>
    <row r="3470" spans="5:5" x14ac:dyDescent="0.25">
      <c r="E3470" s="3" t="str">
        <f t="shared" si="54"/>
        <v/>
      </c>
    </row>
    <row r="3471" spans="5:5" x14ac:dyDescent="0.25">
      <c r="E3471" s="3" t="str">
        <f t="shared" si="54"/>
        <v/>
      </c>
    </row>
    <row r="3472" spans="5:5" x14ac:dyDescent="0.25">
      <c r="E3472" s="3" t="str">
        <f t="shared" si="54"/>
        <v/>
      </c>
    </row>
    <row r="3473" spans="5:5" x14ac:dyDescent="0.25">
      <c r="E3473" s="3" t="str">
        <f t="shared" si="54"/>
        <v/>
      </c>
    </row>
    <row r="3474" spans="5:5" x14ac:dyDescent="0.25">
      <c r="E3474" s="3" t="str">
        <f t="shared" si="54"/>
        <v/>
      </c>
    </row>
    <row r="3475" spans="5:5" x14ac:dyDescent="0.25">
      <c r="E3475" s="3" t="str">
        <f t="shared" si="54"/>
        <v/>
      </c>
    </row>
    <row r="3476" spans="5:5" x14ac:dyDescent="0.25">
      <c r="E3476" s="3" t="str">
        <f t="shared" si="54"/>
        <v/>
      </c>
    </row>
    <row r="3477" spans="5:5" x14ac:dyDescent="0.25">
      <c r="E3477" s="3" t="str">
        <f t="shared" si="54"/>
        <v/>
      </c>
    </row>
    <row r="3478" spans="5:5" x14ac:dyDescent="0.25">
      <c r="E3478" s="3" t="str">
        <f t="shared" si="54"/>
        <v/>
      </c>
    </row>
    <row r="3479" spans="5:5" x14ac:dyDescent="0.25">
      <c r="E3479" s="3" t="str">
        <f t="shared" si="54"/>
        <v/>
      </c>
    </row>
    <row r="3480" spans="5:5" x14ac:dyDescent="0.25">
      <c r="E3480" s="3" t="str">
        <f t="shared" si="54"/>
        <v/>
      </c>
    </row>
    <row r="3481" spans="5:5" x14ac:dyDescent="0.25">
      <c r="E3481" s="3" t="str">
        <f t="shared" si="54"/>
        <v/>
      </c>
    </row>
    <row r="3482" spans="5:5" x14ac:dyDescent="0.25">
      <c r="E3482" s="3" t="str">
        <f t="shared" si="54"/>
        <v/>
      </c>
    </row>
    <row r="3483" spans="5:5" x14ac:dyDescent="0.25">
      <c r="E3483" s="3" t="str">
        <f t="shared" si="54"/>
        <v/>
      </c>
    </row>
    <row r="3484" spans="5:5" x14ac:dyDescent="0.25">
      <c r="E3484" s="3" t="str">
        <f t="shared" si="54"/>
        <v/>
      </c>
    </row>
    <row r="3485" spans="5:5" x14ac:dyDescent="0.25">
      <c r="E3485" s="3" t="str">
        <f t="shared" si="54"/>
        <v/>
      </c>
    </row>
    <row r="3486" spans="5:5" x14ac:dyDescent="0.25">
      <c r="E3486" s="3" t="str">
        <f t="shared" si="54"/>
        <v/>
      </c>
    </row>
    <row r="3487" spans="5:5" x14ac:dyDescent="0.25">
      <c r="E3487" s="3" t="str">
        <f t="shared" si="54"/>
        <v/>
      </c>
    </row>
    <row r="3488" spans="5:5" x14ac:dyDescent="0.25">
      <c r="E3488" s="3" t="str">
        <f t="shared" si="54"/>
        <v/>
      </c>
    </row>
    <row r="3489" spans="5:5" x14ac:dyDescent="0.25">
      <c r="E3489" s="3" t="str">
        <f t="shared" si="54"/>
        <v/>
      </c>
    </row>
    <row r="3490" spans="5:5" x14ac:dyDescent="0.25">
      <c r="E3490" s="3" t="str">
        <f t="shared" si="54"/>
        <v/>
      </c>
    </row>
    <row r="3491" spans="5:5" x14ac:dyDescent="0.25">
      <c r="E3491" s="3" t="str">
        <f t="shared" si="54"/>
        <v/>
      </c>
    </row>
    <row r="3492" spans="5:5" x14ac:dyDescent="0.25">
      <c r="E3492" s="3" t="str">
        <f t="shared" si="54"/>
        <v/>
      </c>
    </row>
    <row r="3493" spans="5:5" x14ac:dyDescent="0.25">
      <c r="E3493" s="3" t="str">
        <f t="shared" si="54"/>
        <v/>
      </c>
    </row>
    <row r="3494" spans="5:5" x14ac:dyDescent="0.25">
      <c r="E3494" s="3" t="str">
        <f t="shared" si="54"/>
        <v/>
      </c>
    </row>
    <row r="3495" spans="5:5" x14ac:dyDescent="0.25">
      <c r="E3495" s="3" t="str">
        <f t="shared" si="54"/>
        <v/>
      </c>
    </row>
    <row r="3496" spans="5:5" x14ac:dyDescent="0.25">
      <c r="E3496" s="3" t="str">
        <f t="shared" si="54"/>
        <v/>
      </c>
    </row>
    <row r="3497" spans="5:5" x14ac:dyDescent="0.25">
      <c r="E3497" s="3" t="str">
        <f t="shared" si="54"/>
        <v/>
      </c>
    </row>
    <row r="3498" spans="5:5" x14ac:dyDescent="0.25">
      <c r="E3498" s="3" t="str">
        <f t="shared" si="54"/>
        <v/>
      </c>
    </row>
    <row r="3499" spans="5:5" x14ac:dyDescent="0.25">
      <c r="E3499" s="3" t="str">
        <f t="shared" si="54"/>
        <v/>
      </c>
    </row>
    <row r="3500" spans="5:5" x14ac:dyDescent="0.25">
      <c r="E3500" s="3" t="str">
        <f t="shared" si="54"/>
        <v/>
      </c>
    </row>
    <row r="3501" spans="5:5" x14ac:dyDescent="0.25">
      <c r="E3501" s="3" t="str">
        <f t="shared" si="54"/>
        <v/>
      </c>
    </row>
    <row r="3502" spans="5:5" x14ac:dyDescent="0.25">
      <c r="E3502" s="3" t="str">
        <f t="shared" si="54"/>
        <v/>
      </c>
    </row>
    <row r="3503" spans="5:5" x14ac:dyDescent="0.25">
      <c r="E3503" s="3" t="str">
        <f t="shared" si="54"/>
        <v/>
      </c>
    </row>
    <row r="3504" spans="5:5" x14ac:dyDescent="0.25">
      <c r="E3504" s="3" t="str">
        <f t="shared" si="54"/>
        <v/>
      </c>
    </row>
    <row r="3505" spans="5:5" x14ac:dyDescent="0.25">
      <c r="E3505" s="3" t="str">
        <f t="shared" si="54"/>
        <v/>
      </c>
    </row>
    <row r="3506" spans="5:5" x14ac:dyDescent="0.25">
      <c r="E3506" s="3" t="str">
        <f t="shared" si="54"/>
        <v/>
      </c>
    </row>
    <row r="3507" spans="5:5" x14ac:dyDescent="0.25">
      <c r="E3507" s="3" t="str">
        <f t="shared" si="54"/>
        <v/>
      </c>
    </row>
    <row r="3508" spans="5:5" x14ac:dyDescent="0.25">
      <c r="E3508" s="3" t="str">
        <f t="shared" si="54"/>
        <v/>
      </c>
    </row>
    <row r="3509" spans="5:5" x14ac:dyDescent="0.25">
      <c r="E3509" s="3" t="str">
        <f t="shared" si="54"/>
        <v/>
      </c>
    </row>
    <row r="3510" spans="5:5" x14ac:dyDescent="0.25">
      <c r="E3510" s="3" t="str">
        <f t="shared" si="54"/>
        <v/>
      </c>
    </row>
    <row r="3511" spans="5:5" x14ac:dyDescent="0.25">
      <c r="E3511" s="3" t="str">
        <f t="shared" si="54"/>
        <v/>
      </c>
    </row>
    <row r="3512" spans="5:5" x14ac:dyDescent="0.25">
      <c r="E3512" s="3" t="str">
        <f t="shared" si="54"/>
        <v/>
      </c>
    </row>
    <row r="3513" spans="5:5" x14ac:dyDescent="0.25">
      <c r="E3513" s="3" t="str">
        <f t="shared" si="54"/>
        <v/>
      </c>
    </row>
    <row r="3514" spans="5:5" x14ac:dyDescent="0.25">
      <c r="E3514" s="3" t="str">
        <f t="shared" si="54"/>
        <v/>
      </c>
    </row>
    <row r="3515" spans="5:5" x14ac:dyDescent="0.25">
      <c r="E3515" s="3" t="str">
        <f t="shared" si="54"/>
        <v/>
      </c>
    </row>
    <row r="3516" spans="5:5" x14ac:dyDescent="0.25">
      <c r="E3516" s="3" t="str">
        <f t="shared" si="54"/>
        <v/>
      </c>
    </row>
    <row r="3517" spans="5:5" x14ac:dyDescent="0.25">
      <c r="E3517" s="3" t="str">
        <f t="shared" si="54"/>
        <v/>
      </c>
    </row>
    <row r="3518" spans="5:5" x14ac:dyDescent="0.25">
      <c r="E3518" s="3" t="str">
        <f t="shared" si="54"/>
        <v/>
      </c>
    </row>
    <row r="3519" spans="5:5" x14ac:dyDescent="0.25">
      <c r="E3519" s="3" t="str">
        <f t="shared" si="54"/>
        <v/>
      </c>
    </row>
    <row r="3520" spans="5:5" x14ac:dyDescent="0.25">
      <c r="E3520" s="3" t="str">
        <f t="shared" si="54"/>
        <v/>
      </c>
    </row>
    <row r="3521" spans="5:5" x14ac:dyDescent="0.25">
      <c r="E3521" s="3" t="str">
        <f t="shared" si="54"/>
        <v/>
      </c>
    </row>
    <row r="3522" spans="5:5" x14ac:dyDescent="0.25">
      <c r="E3522" s="3" t="str">
        <f t="shared" si="54"/>
        <v/>
      </c>
    </row>
    <row r="3523" spans="5:5" x14ac:dyDescent="0.25">
      <c r="E3523" s="3" t="str">
        <f t="shared" ref="E3523:E3586" si="55">IF(COUNTIF(C$3:C$5000,C3523)&gt;1,"DUPLICADO","")</f>
        <v/>
      </c>
    </row>
    <row r="3524" spans="5:5" x14ac:dyDescent="0.25">
      <c r="E3524" s="3" t="str">
        <f t="shared" si="55"/>
        <v/>
      </c>
    </row>
    <row r="3525" spans="5:5" x14ac:dyDescent="0.25">
      <c r="E3525" s="3" t="str">
        <f t="shared" si="55"/>
        <v/>
      </c>
    </row>
    <row r="3526" spans="5:5" x14ac:dyDescent="0.25">
      <c r="E3526" s="3" t="str">
        <f t="shared" si="55"/>
        <v/>
      </c>
    </row>
    <row r="3527" spans="5:5" x14ac:dyDescent="0.25">
      <c r="E3527" s="3" t="str">
        <f t="shared" si="55"/>
        <v/>
      </c>
    </row>
    <row r="3528" spans="5:5" x14ac:dyDescent="0.25">
      <c r="E3528" s="3" t="str">
        <f t="shared" si="55"/>
        <v/>
      </c>
    </row>
    <row r="3529" spans="5:5" x14ac:dyDescent="0.25">
      <c r="E3529" s="3" t="str">
        <f t="shared" si="55"/>
        <v/>
      </c>
    </row>
    <row r="3530" spans="5:5" x14ac:dyDescent="0.25">
      <c r="E3530" s="3" t="str">
        <f t="shared" si="55"/>
        <v/>
      </c>
    </row>
    <row r="3531" spans="5:5" x14ac:dyDescent="0.25">
      <c r="E3531" s="3" t="str">
        <f t="shared" si="55"/>
        <v/>
      </c>
    </row>
    <row r="3532" spans="5:5" x14ac:dyDescent="0.25">
      <c r="E3532" s="3" t="str">
        <f t="shared" si="55"/>
        <v/>
      </c>
    </row>
    <row r="3533" spans="5:5" x14ac:dyDescent="0.25">
      <c r="E3533" s="3" t="str">
        <f t="shared" si="55"/>
        <v/>
      </c>
    </row>
    <row r="3534" spans="5:5" x14ac:dyDescent="0.25">
      <c r="E3534" s="3" t="str">
        <f t="shared" si="55"/>
        <v/>
      </c>
    </row>
    <row r="3535" spans="5:5" x14ac:dyDescent="0.25">
      <c r="E3535" s="3" t="str">
        <f t="shared" si="55"/>
        <v/>
      </c>
    </row>
    <row r="3536" spans="5:5" x14ac:dyDescent="0.25">
      <c r="E3536" s="3" t="str">
        <f t="shared" si="55"/>
        <v/>
      </c>
    </row>
    <row r="3537" spans="5:5" x14ac:dyDescent="0.25">
      <c r="E3537" s="3" t="str">
        <f t="shared" si="55"/>
        <v/>
      </c>
    </row>
    <row r="3538" spans="5:5" x14ac:dyDescent="0.25">
      <c r="E3538" s="3" t="str">
        <f t="shared" si="55"/>
        <v/>
      </c>
    </row>
    <row r="3539" spans="5:5" x14ac:dyDescent="0.25">
      <c r="E3539" s="3" t="str">
        <f t="shared" si="55"/>
        <v/>
      </c>
    </row>
    <row r="3540" spans="5:5" x14ac:dyDescent="0.25">
      <c r="E3540" s="3" t="str">
        <f t="shared" si="55"/>
        <v/>
      </c>
    </row>
    <row r="3541" spans="5:5" x14ac:dyDescent="0.25">
      <c r="E3541" s="3" t="str">
        <f t="shared" si="55"/>
        <v/>
      </c>
    </row>
    <row r="3542" spans="5:5" x14ac:dyDescent="0.25">
      <c r="E3542" s="3" t="str">
        <f t="shared" si="55"/>
        <v/>
      </c>
    </row>
    <row r="3543" spans="5:5" x14ac:dyDescent="0.25">
      <c r="E3543" s="3" t="str">
        <f t="shared" si="55"/>
        <v/>
      </c>
    </row>
    <row r="3544" spans="5:5" x14ac:dyDescent="0.25">
      <c r="E3544" s="3" t="str">
        <f t="shared" si="55"/>
        <v/>
      </c>
    </row>
    <row r="3545" spans="5:5" x14ac:dyDescent="0.25">
      <c r="E3545" s="3" t="str">
        <f t="shared" si="55"/>
        <v/>
      </c>
    </row>
    <row r="3546" spans="5:5" x14ac:dyDescent="0.25">
      <c r="E3546" s="3" t="str">
        <f t="shared" si="55"/>
        <v/>
      </c>
    </row>
    <row r="3547" spans="5:5" x14ac:dyDescent="0.25">
      <c r="E3547" s="3" t="str">
        <f t="shared" si="55"/>
        <v/>
      </c>
    </row>
    <row r="3548" spans="5:5" x14ac:dyDescent="0.25">
      <c r="E3548" s="3" t="str">
        <f t="shared" si="55"/>
        <v/>
      </c>
    </row>
    <row r="3549" spans="5:5" x14ac:dyDescent="0.25">
      <c r="E3549" s="3" t="str">
        <f t="shared" si="55"/>
        <v/>
      </c>
    </row>
    <row r="3550" spans="5:5" x14ac:dyDescent="0.25">
      <c r="E3550" s="3" t="str">
        <f t="shared" si="55"/>
        <v/>
      </c>
    </row>
    <row r="3551" spans="5:5" x14ac:dyDescent="0.25">
      <c r="E3551" s="3" t="str">
        <f t="shared" si="55"/>
        <v/>
      </c>
    </row>
    <row r="3552" spans="5:5" x14ac:dyDescent="0.25">
      <c r="E3552" s="3" t="str">
        <f t="shared" si="55"/>
        <v/>
      </c>
    </row>
    <row r="3553" spans="5:5" x14ac:dyDescent="0.25">
      <c r="E3553" s="3" t="str">
        <f t="shared" si="55"/>
        <v/>
      </c>
    </row>
    <row r="3554" spans="5:5" x14ac:dyDescent="0.25">
      <c r="E3554" s="3" t="str">
        <f t="shared" si="55"/>
        <v/>
      </c>
    </row>
    <row r="3555" spans="5:5" x14ac:dyDescent="0.25">
      <c r="E3555" s="3" t="str">
        <f t="shared" si="55"/>
        <v/>
      </c>
    </row>
    <row r="3556" spans="5:5" x14ac:dyDescent="0.25">
      <c r="E3556" s="3" t="str">
        <f t="shared" si="55"/>
        <v/>
      </c>
    </row>
    <row r="3557" spans="5:5" x14ac:dyDescent="0.25">
      <c r="E3557" s="3" t="str">
        <f t="shared" si="55"/>
        <v/>
      </c>
    </row>
    <row r="3558" spans="5:5" x14ac:dyDescent="0.25">
      <c r="E3558" s="3" t="str">
        <f t="shared" si="55"/>
        <v/>
      </c>
    </row>
    <row r="3559" spans="5:5" x14ac:dyDescent="0.25">
      <c r="E3559" s="3" t="str">
        <f t="shared" si="55"/>
        <v/>
      </c>
    </row>
    <row r="3560" spans="5:5" x14ac:dyDescent="0.25">
      <c r="E3560" s="3" t="str">
        <f t="shared" si="55"/>
        <v/>
      </c>
    </row>
    <row r="3561" spans="5:5" x14ac:dyDescent="0.25">
      <c r="E3561" s="3" t="str">
        <f t="shared" si="55"/>
        <v/>
      </c>
    </row>
    <row r="3562" spans="5:5" x14ac:dyDescent="0.25">
      <c r="E3562" s="3" t="str">
        <f t="shared" si="55"/>
        <v/>
      </c>
    </row>
    <row r="3563" spans="5:5" x14ac:dyDescent="0.25">
      <c r="E3563" s="3" t="str">
        <f t="shared" si="55"/>
        <v/>
      </c>
    </row>
    <row r="3564" spans="5:5" x14ac:dyDescent="0.25">
      <c r="E3564" s="3" t="str">
        <f t="shared" si="55"/>
        <v/>
      </c>
    </row>
    <row r="3565" spans="5:5" x14ac:dyDescent="0.25">
      <c r="E3565" s="3" t="str">
        <f t="shared" si="55"/>
        <v/>
      </c>
    </row>
    <row r="3566" spans="5:5" x14ac:dyDescent="0.25">
      <c r="E3566" s="3" t="str">
        <f t="shared" si="55"/>
        <v/>
      </c>
    </row>
    <row r="3567" spans="5:5" x14ac:dyDescent="0.25">
      <c r="E3567" s="3" t="str">
        <f t="shared" si="55"/>
        <v/>
      </c>
    </row>
    <row r="3568" spans="5:5" x14ac:dyDescent="0.25">
      <c r="E3568" s="3" t="str">
        <f t="shared" si="55"/>
        <v/>
      </c>
    </row>
    <row r="3569" spans="5:5" x14ac:dyDescent="0.25">
      <c r="E3569" s="3" t="str">
        <f t="shared" si="55"/>
        <v/>
      </c>
    </row>
    <row r="3570" spans="5:5" x14ac:dyDescent="0.25">
      <c r="E3570" s="3" t="str">
        <f t="shared" si="55"/>
        <v/>
      </c>
    </row>
    <row r="3571" spans="5:5" x14ac:dyDescent="0.25">
      <c r="E3571" s="3" t="str">
        <f t="shared" si="55"/>
        <v/>
      </c>
    </row>
    <row r="3572" spans="5:5" x14ac:dyDescent="0.25">
      <c r="E3572" s="3" t="str">
        <f t="shared" si="55"/>
        <v/>
      </c>
    </row>
    <row r="3573" spans="5:5" x14ac:dyDescent="0.25">
      <c r="E3573" s="3" t="str">
        <f t="shared" si="55"/>
        <v/>
      </c>
    </row>
    <row r="3574" spans="5:5" x14ac:dyDescent="0.25">
      <c r="E3574" s="3" t="str">
        <f t="shared" si="55"/>
        <v/>
      </c>
    </row>
    <row r="3575" spans="5:5" x14ac:dyDescent="0.25">
      <c r="E3575" s="3" t="str">
        <f t="shared" si="55"/>
        <v/>
      </c>
    </row>
    <row r="3576" spans="5:5" x14ac:dyDescent="0.25">
      <c r="E3576" s="3" t="str">
        <f t="shared" si="55"/>
        <v/>
      </c>
    </row>
    <row r="3577" spans="5:5" x14ac:dyDescent="0.25">
      <c r="E3577" s="3" t="str">
        <f t="shared" si="55"/>
        <v/>
      </c>
    </row>
    <row r="3578" spans="5:5" x14ac:dyDescent="0.25">
      <c r="E3578" s="3" t="str">
        <f t="shared" si="55"/>
        <v/>
      </c>
    </row>
    <row r="3579" spans="5:5" x14ac:dyDescent="0.25">
      <c r="E3579" s="3" t="str">
        <f t="shared" si="55"/>
        <v/>
      </c>
    </row>
    <row r="3580" spans="5:5" x14ac:dyDescent="0.25">
      <c r="E3580" s="3" t="str">
        <f t="shared" si="55"/>
        <v/>
      </c>
    </row>
    <row r="3581" spans="5:5" x14ac:dyDescent="0.25">
      <c r="E3581" s="3" t="str">
        <f t="shared" si="55"/>
        <v/>
      </c>
    </row>
    <row r="3582" spans="5:5" x14ac:dyDescent="0.25">
      <c r="E3582" s="3" t="str">
        <f t="shared" si="55"/>
        <v/>
      </c>
    </row>
    <row r="3583" spans="5:5" x14ac:dyDescent="0.25">
      <c r="E3583" s="3" t="str">
        <f t="shared" si="55"/>
        <v/>
      </c>
    </row>
    <row r="3584" spans="5:5" x14ac:dyDescent="0.25">
      <c r="E3584" s="3" t="str">
        <f t="shared" si="55"/>
        <v/>
      </c>
    </row>
    <row r="3585" spans="5:5" x14ac:dyDescent="0.25">
      <c r="E3585" s="3" t="str">
        <f t="shared" si="55"/>
        <v/>
      </c>
    </row>
    <row r="3586" spans="5:5" x14ac:dyDescent="0.25">
      <c r="E3586" s="3" t="str">
        <f t="shared" si="55"/>
        <v/>
      </c>
    </row>
    <row r="3587" spans="5:5" x14ac:dyDescent="0.25">
      <c r="E3587" s="3" t="str">
        <f t="shared" ref="E3587:E3650" si="56">IF(COUNTIF(C$3:C$5000,C3587)&gt;1,"DUPLICADO","")</f>
        <v/>
      </c>
    </row>
    <row r="3588" spans="5:5" x14ac:dyDescent="0.25">
      <c r="E3588" s="3" t="str">
        <f t="shared" si="56"/>
        <v/>
      </c>
    </row>
    <row r="3589" spans="5:5" x14ac:dyDescent="0.25">
      <c r="E3589" s="3" t="str">
        <f t="shared" si="56"/>
        <v/>
      </c>
    </row>
    <row r="3590" spans="5:5" x14ac:dyDescent="0.25">
      <c r="E3590" s="3" t="str">
        <f t="shared" si="56"/>
        <v/>
      </c>
    </row>
    <row r="3591" spans="5:5" x14ac:dyDescent="0.25">
      <c r="E3591" s="3" t="str">
        <f t="shared" si="56"/>
        <v/>
      </c>
    </row>
    <row r="3592" spans="5:5" x14ac:dyDescent="0.25">
      <c r="E3592" s="3" t="str">
        <f t="shared" si="56"/>
        <v/>
      </c>
    </row>
    <row r="3593" spans="5:5" x14ac:dyDescent="0.25">
      <c r="E3593" s="3" t="str">
        <f t="shared" si="56"/>
        <v/>
      </c>
    </row>
    <row r="3594" spans="5:5" x14ac:dyDescent="0.25">
      <c r="E3594" s="3" t="str">
        <f t="shared" si="56"/>
        <v/>
      </c>
    </row>
    <row r="3595" spans="5:5" x14ac:dyDescent="0.25">
      <c r="E3595" s="3" t="str">
        <f t="shared" si="56"/>
        <v/>
      </c>
    </row>
    <row r="3596" spans="5:5" x14ac:dyDescent="0.25">
      <c r="E3596" s="3" t="str">
        <f t="shared" si="56"/>
        <v/>
      </c>
    </row>
    <row r="3597" spans="5:5" x14ac:dyDescent="0.25">
      <c r="E3597" s="3" t="str">
        <f t="shared" si="56"/>
        <v/>
      </c>
    </row>
    <row r="3598" spans="5:5" x14ac:dyDescent="0.25">
      <c r="E3598" s="3" t="str">
        <f t="shared" si="56"/>
        <v/>
      </c>
    </row>
    <row r="3599" spans="5:5" x14ac:dyDescent="0.25">
      <c r="E3599" s="3" t="str">
        <f t="shared" si="56"/>
        <v/>
      </c>
    </row>
    <row r="3600" spans="5:5" x14ac:dyDescent="0.25">
      <c r="E3600" s="3" t="str">
        <f t="shared" si="56"/>
        <v/>
      </c>
    </row>
    <row r="3601" spans="5:5" x14ac:dyDescent="0.25">
      <c r="E3601" s="3" t="str">
        <f t="shared" si="56"/>
        <v/>
      </c>
    </row>
    <row r="3602" spans="5:5" x14ac:dyDescent="0.25">
      <c r="E3602" s="3" t="str">
        <f t="shared" si="56"/>
        <v/>
      </c>
    </row>
    <row r="3603" spans="5:5" x14ac:dyDescent="0.25">
      <c r="E3603" s="3" t="str">
        <f t="shared" si="56"/>
        <v/>
      </c>
    </row>
    <row r="3604" spans="5:5" x14ac:dyDescent="0.25">
      <c r="E3604" s="3" t="str">
        <f t="shared" si="56"/>
        <v/>
      </c>
    </row>
    <row r="3605" spans="5:5" x14ac:dyDescent="0.25">
      <c r="E3605" s="3" t="str">
        <f t="shared" si="56"/>
        <v/>
      </c>
    </row>
    <row r="3606" spans="5:5" x14ac:dyDescent="0.25">
      <c r="E3606" s="3" t="str">
        <f t="shared" si="56"/>
        <v/>
      </c>
    </row>
    <row r="3607" spans="5:5" x14ac:dyDescent="0.25">
      <c r="E3607" s="3" t="str">
        <f t="shared" si="56"/>
        <v/>
      </c>
    </row>
    <row r="3608" spans="5:5" x14ac:dyDescent="0.25">
      <c r="E3608" s="3" t="str">
        <f t="shared" si="56"/>
        <v/>
      </c>
    </row>
    <row r="3609" spans="5:5" x14ac:dyDescent="0.25">
      <c r="E3609" s="3" t="str">
        <f t="shared" si="56"/>
        <v/>
      </c>
    </row>
    <row r="3610" spans="5:5" x14ac:dyDescent="0.25">
      <c r="E3610" s="3" t="str">
        <f t="shared" si="56"/>
        <v/>
      </c>
    </row>
    <row r="3611" spans="5:5" x14ac:dyDescent="0.25">
      <c r="E3611" s="3" t="str">
        <f t="shared" si="56"/>
        <v/>
      </c>
    </row>
    <row r="3612" spans="5:5" x14ac:dyDescent="0.25">
      <c r="E3612" s="3" t="str">
        <f t="shared" si="56"/>
        <v/>
      </c>
    </row>
    <row r="3613" spans="5:5" x14ac:dyDescent="0.25">
      <c r="E3613" s="3" t="str">
        <f t="shared" si="56"/>
        <v/>
      </c>
    </row>
    <row r="3614" spans="5:5" x14ac:dyDescent="0.25">
      <c r="E3614" s="3" t="str">
        <f t="shared" si="56"/>
        <v/>
      </c>
    </row>
    <row r="3615" spans="5:5" x14ac:dyDescent="0.25">
      <c r="E3615" s="3" t="str">
        <f t="shared" si="56"/>
        <v/>
      </c>
    </row>
    <row r="3616" spans="5:5" x14ac:dyDescent="0.25">
      <c r="E3616" s="3" t="str">
        <f t="shared" si="56"/>
        <v/>
      </c>
    </row>
    <row r="3617" spans="5:5" x14ac:dyDescent="0.25">
      <c r="E3617" s="3" t="str">
        <f t="shared" si="56"/>
        <v/>
      </c>
    </row>
    <row r="3618" spans="5:5" x14ac:dyDescent="0.25">
      <c r="E3618" s="3" t="str">
        <f t="shared" si="56"/>
        <v/>
      </c>
    </row>
    <row r="3619" spans="5:5" x14ac:dyDescent="0.25">
      <c r="E3619" s="3" t="str">
        <f t="shared" si="56"/>
        <v/>
      </c>
    </row>
    <row r="3620" spans="5:5" x14ac:dyDescent="0.25">
      <c r="E3620" s="3" t="str">
        <f t="shared" si="56"/>
        <v/>
      </c>
    </row>
    <row r="3621" spans="5:5" x14ac:dyDescent="0.25">
      <c r="E3621" s="3" t="str">
        <f t="shared" si="56"/>
        <v/>
      </c>
    </row>
    <row r="3622" spans="5:5" x14ac:dyDescent="0.25">
      <c r="E3622" s="3" t="str">
        <f t="shared" si="56"/>
        <v/>
      </c>
    </row>
    <row r="3623" spans="5:5" x14ac:dyDescent="0.25">
      <c r="E3623" s="3" t="str">
        <f t="shared" si="56"/>
        <v/>
      </c>
    </row>
    <row r="3624" spans="5:5" x14ac:dyDescent="0.25">
      <c r="E3624" s="3" t="str">
        <f t="shared" si="56"/>
        <v/>
      </c>
    </row>
    <row r="3625" spans="5:5" x14ac:dyDescent="0.25">
      <c r="E3625" s="3" t="str">
        <f t="shared" si="56"/>
        <v/>
      </c>
    </row>
    <row r="3626" spans="5:5" x14ac:dyDescent="0.25">
      <c r="E3626" s="3" t="str">
        <f t="shared" si="56"/>
        <v/>
      </c>
    </row>
    <row r="3627" spans="5:5" x14ac:dyDescent="0.25">
      <c r="E3627" s="3" t="str">
        <f t="shared" si="56"/>
        <v/>
      </c>
    </row>
    <row r="3628" spans="5:5" x14ac:dyDescent="0.25">
      <c r="E3628" s="3" t="str">
        <f t="shared" si="56"/>
        <v/>
      </c>
    </row>
    <row r="3629" spans="5:5" x14ac:dyDescent="0.25">
      <c r="E3629" s="3" t="str">
        <f t="shared" si="56"/>
        <v/>
      </c>
    </row>
    <row r="3630" spans="5:5" x14ac:dyDescent="0.25">
      <c r="E3630" s="3" t="str">
        <f t="shared" si="56"/>
        <v/>
      </c>
    </row>
    <row r="3631" spans="5:5" x14ac:dyDescent="0.25">
      <c r="E3631" s="3" t="str">
        <f t="shared" si="56"/>
        <v/>
      </c>
    </row>
    <row r="3632" spans="5:5" x14ac:dyDescent="0.25">
      <c r="E3632" s="3" t="str">
        <f t="shared" si="56"/>
        <v/>
      </c>
    </row>
    <row r="3633" spans="5:5" x14ac:dyDescent="0.25">
      <c r="E3633" s="3" t="str">
        <f t="shared" si="56"/>
        <v/>
      </c>
    </row>
    <row r="3634" spans="5:5" x14ac:dyDescent="0.25">
      <c r="E3634" s="3" t="str">
        <f t="shared" si="56"/>
        <v/>
      </c>
    </row>
    <row r="3635" spans="5:5" x14ac:dyDescent="0.25">
      <c r="E3635" s="3" t="str">
        <f t="shared" si="56"/>
        <v/>
      </c>
    </row>
    <row r="3636" spans="5:5" x14ac:dyDescent="0.25">
      <c r="E3636" s="3" t="str">
        <f t="shared" si="56"/>
        <v/>
      </c>
    </row>
    <row r="3637" spans="5:5" x14ac:dyDescent="0.25">
      <c r="E3637" s="3" t="str">
        <f t="shared" si="56"/>
        <v/>
      </c>
    </row>
    <row r="3638" spans="5:5" x14ac:dyDescent="0.25">
      <c r="E3638" s="3" t="str">
        <f t="shared" si="56"/>
        <v/>
      </c>
    </row>
    <row r="3639" spans="5:5" x14ac:dyDescent="0.25">
      <c r="E3639" s="3" t="str">
        <f t="shared" si="56"/>
        <v/>
      </c>
    </row>
    <row r="3640" spans="5:5" x14ac:dyDescent="0.25">
      <c r="E3640" s="3" t="str">
        <f t="shared" si="56"/>
        <v/>
      </c>
    </row>
    <row r="3641" spans="5:5" x14ac:dyDescent="0.25">
      <c r="E3641" s="3" t="str">
        <f t="shared" si="56"/>
        <v/>
      </c>
    </row>
    <row r="3642" spans="5:5" x14ac:dyDescent="0.25">
      <c r="E3642" s="3" t="str">
        <f t="shared" si="56"/>
        <v/>
      </c>
    </row>
    <row r="3643" spans="5:5" x14ac:dyDescent="0.25">
      <c r="E3643" s="3" t="str">
        <f t="shared" si="56"/>
        <v/>
      </c>
    </row>
    <row r="3644" spans="5:5" x14ac:dyDescent="0.25">
      <c r="E3644" s="3" t="str">
        <f t="shared" si="56"/>
        <v/>
      </c>
    </row>
    <row r="3645" spans="5:5" x14ac:dyDescent="0.25">
      <c r="E3645" s="3" t="str">
        <f t="shared" si="56"/>
        <v/>
      </c>
    </row>
    <row r="3646" spans="5:5" x14ac:dyDescent="0.25">
      <c r="E3646" s="3" t="str">
        <f t="shared" si="56"/>
        <v/>
      </c>
    </row>
    <row r="3647" spans="5:5" x14ac:dyDescent="0.25">
      <c r="E3647" s="3" t="str">
        <f t="shared" si="56"/>
        <v/>
      </c>
    </row>
    <row r="3648" spans="5:5" x14ac:dyDescent="0.25">
      <c r="E3648" s="3" t="str">
        <f t="shared" si="56"/>
        <v/>
      </c>
    </row>
    <row r="3649" spans="5:5" x14ac:dyDescent="0.25">
      <c r="E3649" s="3" t="str">
        <f t="shared" si="56"/>
        <v/>
      </c>
    </row>
    <row r="3650" spans="5:5" x14ac:dyDescent="0.25">
      <c r="E3650" s="3" t="str">
        <f t="shared" si="56"/>
        <v/>
      </c>
    </row>
    <row r="3651" spans="5:5" x14ac:dyDescent="0.25">
      <c r="E3651" s="3" t="str">
        <f t="shared" ref="E3651:E3714" si="57">IF(COUNTIF(C$3:C$5000,C3651)&gt;1,"DUPLICADO","")</f>
        <v/>
      </c>
    </row>
    <row r="3652" spans="5:5" x14ac:dyDescent="0.25">
      <c r="E3652" s="3" t="str">
        <f t="shared" si="57"/>
        <v/>
      </c>
    </row>
    <row r="3653" spans="5:5" x14ac:dyDescent="0.25">
      <c r="E3653" s="3" t="str">
        <f t="shared" si="57"/>
        <v/>
      </c>
    </row>
    <row r="3654" spans="5:5" x14ac:dyDescent="0.25">
      <c r="E3654" s="3" t="str">
        <f t="shared" si="57"/>
        <v/>
      </c>
    </row>
    <row r="3655" spans="5:5" x14ac:dyDescent="0.25">
      <c r="E3655" s="3" t="str">
        <f t="shared" si="57"/>
        <v/>
      </c>
    </row>
    <row r="3656" spans="5:5" x14ac:dyDescent="0.25">
      <c r="E3656" s="3" t="str">
        <f t="shared" si="57"/>
        <v/>
      </c>
    </row>
    <row r="3657" spans="5:5" x14ac:dyDescent="0.25">
      <c r="E3657" s="3" t="str">
        <f t="shared" si="57"/>
        <v/>
      </c>
    </row>
    <row r="3658" spans="5:5" x14ac:dyDescent="0.25">
      <c r="E3658" s="3" t="str">
        <f t="shared" si="57"/>
        <v/>
      </c>
    </row>
    <row r="3659" spans="5:5" x14ac:dyDescent="0.25">
      <c r="E3659" s="3" t="str">
        <f t="shared" si="57"/>
        <v/>
      </c>
    </row>
    <row r="3660" spans="5:5" x14ac:dyDescent="0.25">
      <c r="E3660" s="3" t="str">
        <f t="shared" si="57"/>
        <v/>
      </c>
    </row>
    <row r="3661" spans="5:5" x14ac:dyDescent="0.25">
      <c r="E3661" s="3" t="str">
        <f t="shared" si="57"/>
        <v/>
      </c>
    </row>
    <row r="3662" spans="5:5" x14ac:dyDescent="0.25">
      <c r="E3662" s="3" t="str">
        <f t="shared" si="57"/>
        <v/>
      </c>
    </row>
    <row r="3663" spans="5:5" x14ac:dyDescent="0.25">
      <c r="E3663" s="3" t="str">
        <f t="shared" si="57"/>
        <v/>
      </c>
    </row>
    <row r="3664" spans="5:5" x14ac:dyDescent="0.25">
      <c r="E3664" s="3" t="str">
        <f t="shared" si="57"/>
        <v/>
      </c>
    </row>
    <row r="3665" spans="5:5" x14ac:dyDescent="0.25">
      <c r="E3665" s="3" t="str">
        <f t="shared" si="57"/>
        <v/>
      </c>
    </row>
    <row r="3666" spans="5:5" x14ac:dyDescent="0.25">
      <c r="E3666" s="3" t="str">
        <f t="shared" si="57"/>
        <v/>
      </c>
    </row>
    <row r="3667" spans="5:5" x14ac:dyDescent="0.25">
      <c r="E3667" s="3" t="str">
        <f t="shared" si="57"/>
        <v/>
      </c>
    </row>
    <row r="3668" spans="5:5" x14ac:dyDescent="0.25">
      <c r="E3668" s="3" t="str">
        <f t="shared" si="57"/>
        <v/>
      </c>
    </row>
    <row r="3669" spans="5:5" x14ac:dyDescent="0.25">
      <c r="E3669" s="3" t="str">
        <f t="shared" si="57"/>
        <v/>
      </c>
    </row>
    <row r="3670" spans="5:5" x14ac:dyDescent="0.25">
      <c r="E3670" s="3" t="str">
        <f t="shared" si="57"/>
        <v/>
      </c>
    </row>
    <row r="3671" spans="5:5" x14ac:dyDescent="0.25">
      <c r="E3671" s="3" t="str">
        <f t="shared" si="57"/>
        <v/>
      </c>
    </row>
    <row r="3672" spans="5:5" x14ac:dyDescent="0.25">
      <c r="E3672" s="3" t="str">
        <f t="shared" si="57"/>
        <v/>
      </c>
    </row>
    <row r="3673" spans="5:5" x14ac:dyDescent="0.25">
      <c r="E3673" s="3" t="str">
        <f t="shared" si="57"/>
        <v/>
      </c>
    </row>
    <row r="3674" spans="5:5" x14ac:dyDescent="0.25">
      <c r="E3674" s="3" t="str">
        <f t="shared" si="57"/>
        <v/>
      </c>
    </row>
    <row r="3675" spans="5:5" x14ac:dyDescent="0.25">
      <c r="E3675" s="3" t="str">
        <f t="shared" si="57"/>
        <v/>
      </c>
    </row>
    <row r="3676" spans="5:5" x14ac:dyDescent="0.25">
      <c r="E3676" s="3" t="str">
        <f t="shared" si="57"/>
        <v/>
      </c>
    </row>
    <row r="3677" spans="5:5" x14ac:dyDescent="0.25">
      <c r="E3677" s="3" t="str">
        <f t="shared" si="57"/>
        <v/>
      </c>
    </row>
    <row r="3678" spans="5:5" x14ac:dyDescent="0.25">
      <c r="E3678" s="3" t="str">
        <f t="shared" si="57"/>
        <v/>
      </c>
    </row>
    <row r="3679" spans="5:5" x14ac:dyDescent="0.25">
      <c r="E3679" s="3" t="str">
        <f t="shared" si="57"/>
        <v/>
      </c>
    </row>
    <row r="3680" spans="5:5" x14ac:dyDescent="0.25">
      <c r="E3680" s="3" t="str">
        <f t="shared" si="57"/>
        <v/>
      </c>
    </row>
    <row r="3681" spans="5:5" x14ac:dyDescent="0.25">
      <c r="E3681" s="3" t="str">
        <f t="shared" si="57"/>
        <v/>
      </c>
    </row>
    <row r="3682" spans="5:5" x14ac:dyDescent="0.25">
      <c r="E3682" s="3" t="str">
        <f t="shared" si="57"/>
        <v/>
      </c>
    </row>
    <row r="3683" spans="5:5" x14ac:dyDescent="0.25">
      <c r="E3683" s="3" t="str">
        <f t="shared" si="57"/>
        <v/>
      </c>
    </row>
    <row r="3684" spans="5:5" x14ac:dyDescent="0.25">
      <c r="E3684" s="3" t="str">
        <f t="shared" si="57"/>
        <v/>
      </c>
    </row>
    <row r="3685" spans="5:5" x14ac:dyDescent="0.25">
      <c r="E3685" s="3" t="str">
        <f t="shared" si="57"/>
        <v/>
      </c>
    </row>
    <row r="3686" spans="5:5" x14ac:dyDescent="0.25">
      <c r="E3686" s="3" t="str">
        <f t="shared" si="57"/>
        <v/>
      </c>
    </row>
    <row r="3687" spans="5:5" x14ac:dyDescent="0.25">
      <c r="E3687" s="3" t="str">
        <f t="shared" si="57"/>
        <v/>
      </c>
    </row>
    <row r="3688" spans="5:5" x14ac:dyDescent="0.25">
      <c r="E3688" s="3" t="str">
        <f t="shared" si="57"/>
        <v/>
      </c>
    </row>
    <row r="3689" spans="5:5" x14ac:dyDescent="0.25">
      <c r="E3689" s="3" t="str">
        <f t="shared" si="57"/>
        <v/>
      </c>
    </row>
    <row r="3690" spans="5:5" x14ac:dyDescent="0.25">
      <c r="E3690" s="3" t="str">
        <f t="shared" si="57"/>
        <v/>
      </c>
    </row>
    <row r="3691" spans="5:5" x14ac:dyDescent="0.25">
      <c r="E3691" s="3" t="str">
        <f t="shared" si="57"/>
        <v/>
      </c>
    </row>
    <row r="3692" spans="5:5" x14ac:dyDescent="0.25">
      <c r="E3692" s="3" t="str">
        <f t="shared" si="57"/>
        <v/>
      </c>
    </row>
    <row r="3693" spans="5:5" x14ac:dyDescent="0.25">
      <c r="E3693" s="3" t="str">
        <f t="shared" si="57"/>
        <v/>
      </c>
    </row>
    <row r="3694" spans="5:5" x14ac:dyDescent="0.25">
      <c r="E3694" s="3" t="str">
        <f t="shared" si="57"/>
        <v/>
      </c>
    </row>
    <row r="3695" spans="5:5" x14ac:dyDescent="0.25">
      <c r="E3695" s="3" t="str">
        <f t="shared" si="57"/>
        <v/>
      </c>
    </row>
    <row r="3696" spans="5:5" x14ac:dyDescent="0.25">
      <c r="E3696" s="3" t="str">
        <f t="shared" si="57"/>
        <v/>
      </c>
    </row>
    <row r="3697" spans="5:5" x14ac:dyDescent="0.25">
      <c r="E3697" s="3" t="str">
        <f t="shared" si="57"/>
        <v/>
      </c>
    </row>
    <row r="3698" spans="5:5" x14ac:dyDescent="0.25">
      <c r="E3698" s="3" t="str">
        <f t="shared" si="57"/>
        <v/>
      </c>
    </row>
    <row r="3699" spans="5:5" x14ac:dyDescent="0.25">
      <c r="E3699" s="3" t="str">
        <f t="shared" si="57"/>
        <v/>
      </c>
    </row>
    <row r="3700" spans="5:5" x14ac:dyDescent="0.25">
      <c r="E3700" s="3" t="str">
        <f t="shared" si="57"/>
        <v/>
      </c>
    </row>
    <row r="3701" spans="5:5" x14ac:dyDescent="0.25">
      <c r="E3701" s="3" t="str">
        <f t="shared" si="57"/>
        <v/>
      </c>
    </row>
    <row r="3702" spans="5:5" x14ac:dyDescent="0.25">
      <c r="E3702" s="3" t="str">
        <f t="shared" si="57"/>
        <v/>
      </c>
    </row>
    <row r="3703" spans="5:5" x14ac:dyDescent="0.25">
      <c r="E3703" s="3" t="str">
        <f t="shared" si="57"/>
        <v/>
      </c>
    </row>
    <row r="3704" spans="5:5" x14ac:dyDescent="0.25">
      <c r="E3704" s="3" t="str">
        <f t="shared" si="57"/>
        <v/>
      </c>
    </row>
    <row r="3705" spans="5:5" x14ac:dyDescent="0.25">
      <c r="E3705" s="3" t="str">
        <f t="shared" si="57"/>
        <v/>
      </c>
    </row>
    <row r="3706" spans="5:5" x14ac:dyDescent="0.25">
      <c r="E3706" s="3" t="str">
        <f t="shared" si="57"/>
        <v/>
      </c>
    </row>
    <row r="3707" spans="5:5" x14ac:dyDescent="0.25">
      <c r="E3707" s="3" t="str">
        <f t="shared" si="57"/>
        <v/>
      </c>
    </row>
    <row r="3708" spans="5:5" x14ac:dyDescent="0.25">
      <c r="E3708" s="3" t="str">
        <f t="shared" si="57"/>
        <v/>
      </c>
    </row>
    <row r="3709" spans="5:5" x14ac:dyDescent="0.25">
      <c r="E3709" s="3" t="str">
        <f t="shared" si="57"/>
        <v/>
      </c>
    </row>
    <row r="3710" spans="5:5" x14ac:dyDescent="0.25">
      <c r="E3710" s="3" t="str">
        <f t="shared" si="57"/>
        <v/>
      </c>
    </row>
    <row r="3711" spans="5:5" x14ac:dyDescent="0.25">
      <c r="E3711" s="3" t="str">
        <f t="shared" si="57"/>
        <v/>
      </c>
    </row>
    <row r="3712" spans="5:5" x14ac:dyDescent="0.25">
      <c r="E3712" s="3" t="str">
        <f t="shared" si="57"/>
        <v/>
      </c>
    </row>
    <row r="3713" spans="5:5" x14ac:dyDescent="0.25">
      <c r="E3713" s="3" t="str">
        <f t="shared" si="57"/>
        <v/>
      </c>
    </row>
    <row r="3714" spans="5:5" x14ac:dyDescent="0.25">
      <c r="E3714" s="3" t="str">
        <f t="shared" si="57"/>
        <v/>
      </c>
    </row>
    <row r="3715" spans="5:5" x14ac:dyDescent="0.25">
      <c r="E3715" s="3" t="str">
        <f t="shared" ref="E3715:E3778" si="58">IF(COUNTIF(C$3:C$5000,C3715)&gt;1,"DUPLICADO","")</f>
        <v/>
      </c>
    </row>
    <row r="3716" spans="5:5" x14ac:dyDescent="0.25">
      <c r="E3716" s="3" t="str">
        <f t="shared" si="58"/>
        <v/>
      </c>
    </row>
    <row r="3717" spans="5:5" x14ac:dyDescent="0.25">
      <c r="E3717" s="3" t="str">
        <f t="shared" si="58"/>
        <v/>
      </c>
    </row>
    <row r="3718" spans="5:5" x14ac:dyDescent="0.25">
      <c r="E3718" s="3" t="str">
        <f t="shared" si="58"/>
        <v/>
      </c>
    </row>
    <row r="3719" spans="5:5" x14ac:dyDescent="0.25">
      <c r="E3719" s="3" t="str">
        <f t="shared" si="58"/>
        <v/>
      </c>
    </row>
    <row r="3720" spans="5:5" x14ac:dyDescent="0.25">
      <c r="E3720" s="3" t="str">
        <f t="shared" si="58"/>
        <v/>
      </c>
    </row>
    <row r="3721" spans="5:5" x14ac:dyDescent="0.25">
      <c r="E3721" s="3" t="str">
        <f t="shared" si="58"/>
        <v/>
      </c>
    </row>
    <row r="3722" spans="5:5" x14ac:dyDescent="0.25">
      <c r="E3722" s="3" t="str">
        <f t="shared" si="58"/>
        <v/>
      </c>
    </row>
    <row r="3723" spans="5:5" x14ac:dyDescent="0.25">
      <c r="E3723" s="3" t="str">
        <f t="shared" si="58"/>
        <v/>
      </c>
    </row>
    <row r="3724" spans="5:5" x14ac:dyDescent="0.25">
      <c r="E3724" s="3" t="str">
        <f t="shared" si="58"/>
        <v/>
      </c>
    </row>
    <row r="3725" spans="5:5" x14ac:dyDescent="0.25">
      <c r="E3725" s="3" t="str">
        <f t="shared" si="58"/>
        <v/>
      </c>
    </row>
    <row r="3726" spans="5:5" x14ac:dyDescent="0.25">
      <c r="E3726" s="3" t="str">
        <f t="shared" si="58"/>
        <v/>
      </c>
    </row>
    <row r="3727" spans="5:5" x14ac:dyDescent="0.25">
      <c r="E3727" s="3" t="str">
        <f t="shared" si="58"/>
        <v/>
      </c>
    </row>
    <row r="3728" spans="5:5" x14ac:dyDescent="0.25">
      <c r="E3728" s="3" t="str">
        <f t="shared" si="58"/>
        <v/>
      </c>
    </row>
    <row r="3729" spans="5:5" x14ac:dyDescent="0.25">
      <c r="E3729" s="3" t="str">
        <f t="shared" si="58"/>
        <v/>
      </c>
    </row>
    <row r="3730" spans="5:5" x14ac:dyDescent="0.25">
      <c r="E3730" s="3" t="str">
        <f t="shared" si="58"/>
        <v/>
      </c>
    </row>
    <row r="3731" spans="5:5" x14ac:dyDescent="0.25">
      <c r="E3731" s="3" t="str">
        <f t="shared" si="58"/>
        <v/>
      </c>
    </row>
    <row r="3732" spans="5:5" x14ac:dyDescent="0.25">
      <c r="E3732" s="3" t="str">
        <f t="shared" si="58"/>
        <v/>
      </c>
    </row>
    <row r="3733" spans="5:5" x14ac:dyDescent="0.25">
      <c r="E3733" s="3" t="str">
        <f t="shared" si="58"/>
        <v/>
      </c>
    </row>
    <row r="3734" spans="5:5" x14ac:dyDescent="0.25">
      <c r="E3734" s="3" t="str">
        <f t="shared" si="58"/>
        <v/>
      </c>
    </row>
    <row r="3735" spans="5:5" x14ac:dyDescent="0.25">
      <c r="E3735" s="3" t="str">
        <f t="shared" si="58"/>
        <v/>
      </c>
    </row>
    <row r="3736" spans="5:5" x14ac:dyDescent="0.25">
      <c r="E3736" s="3" t="str">
        <f t="shared" si="58"/>
        <v/>
      </c>
    </row>
    <row r="3737" spans="5:5" x14ac:dyDescent="0.25">
      <c r="E3737" s="3" t="str">
        <f t="shared" si="58"/>
        <v/>
      </c>
    </row>
    <row r="3738" spans="5:5" x14ac:dyDescent="0.25">
      <c r="E3738" s="3" t="str">
        <f t="shared" si="58"/>
        <v/>
      </c>
    </row>
    <row r="3739" spans="5:5" x14ac:dyDescent="0.25">
      <c r="E3739" s="3" t="str">
        <f t="shared" si="58"/>
        <v/>
      </c>
    </row>
    <row r="3740" spans="5:5" x14ac:dyDescent="0.25">
      <c r="E3740" s="3" t="str">
        <f t="shared" si="58"/>
        <v/>
      </c>
    </row>
    <row r="3741" spans="5:5" x14ac:dyDescent="0.25">
      <c r="E3741" s="3" t="str">
        <f t="shared" si="58"/>
        <v/>
      </c>
    </row>
    <row r="3742" spans="5:5" x14ac:dyDescent="0.25">
      <c r="E3742" s="3" t="str">
        <f t="shared" si="58"/>
        <v/>
      </c>
    </row>
    <row r="3743" spans="5:5" x14ac:dyDescent="0.25">
      <c r="E3743" s="3" t="str">
        <f t="shared" si="58"/>
        <v/>
      </c>
    </row>
    <row r="3744" spans="5:5" x14ac:dyDescent="0.25">
      <c r="E3744" s="3" t="str">
        <f t="shared" si="58"/>
        <v/>
      </c>
    </row>
    <row r="3745" spans="5:5" x14ac:dyDescent="0.25">
      <c r="E3745" s="3" t="str">
        <f t="shared" si="58"/>
        <v/>
      </c>
    </row>
    <row r="3746" spans="5:5" x14ac:dyDescent="0.25">
      <c r="E3746" s="3" t="str">
        <f t="shared" si="58"/>
        <v/>
      </c>
    </row>
    <row r="3747" spans="5:5" x14ac:dyDescent="0.25">
      <c r="E3747" s="3" t="str">
        <f t="shared" si="58"/>
        <v/>
      </c>
    </row>
    <row r="3748" spans="5:5" x14ac:dyDescent="0.25">
      <c r="E3748" s="3" t="str">
        <f t="shared" si="58"/>
        <v/>
      </c>
    </row>
    <row r="3749" spans="5:5" x14ac:dyDescent="0.25">
      <c r="E3749" s="3" t="str">
        <f t="shared" si="58"/>
        <v/>
      </c>
    </row>
    <row r="3750" spans="5:5" x14ac:dyDescent="0.25">
      <c r="E3750" s="3" t="str">
        <f t="shared" si="58"/>
        <v/>
      </c>
    </row>
    <row r="3751" spans="5:5" x14ac:dyDescent="0.25">
      <c r="E3751" s="3" t="str">
        <f t="shared" si="58"/>
        <v/>
      </c>
    </row>
    <row r="3752" spans="5:5" x14ac:dyDescent="0.25">
      <c r="E3752" s="3" t="str">
        <f t="shared" si="58"/>
        <v/>
      </c>
    </row>
    <row r="3753" spans="5:5" x14ac:dyDescent="0.25">
      <c r="E3753" s="3" t="str">
        <f t="shared" si="58"/>
        <v/>
      </c>
    </row>
    <row r="3754" spans="5:5" x14ac:dyDescent="0.25">
      <c r="E3754" s="3" t="str">
        <f t="shared" si="58"/>
        <v/>
      </c>
    </row>
    <row r="3755" spans="5:5" x14ac:dyDescent="0.25">
      <c r="E3755" s="3" t="str">
        <f t="shared" si="58"/>
        <v/>
      </c>
    </row>
    <row r="3756" spans="5:5" x14ac:dyDescent="0.25">
      <c r="E3756" s="3" t="str">
        <f t="shared" si="58"/>
        <v/>
      </c>
    </row>
    <row r="3757" spans="5:5" x14ac:dyDescent="0.25">
      <c r="E3757" s="3" t="str">
        <f t="shared" si="58"/>
        <v/>
      </c>
    </row>
    <row r="3758" spans="5:5" x14ac:dyDescent="0.25">
      <c r="E3758" s="3" t="str">
        <f t="shared" si="58"/>
        <v/>
      </c>
    </row>
    <row r="3759" spans="5:5" x14ac:dyDescent="0.25">
      <c r="E3759" s="3" t="str">
        <f t="shared" si="58"/>
        <v/>
      </c>
    </row>
    <row r="3760" spans="5:5" x14ac:dyDescent="0.25">
      <c r="E3760" s="3" t="str">
        <f t="shared" si="58"/>
        <v/>
      </c>
    </row>
    <row r="3761" spans="5:5" x14ac:dyDescent="0.25">
      <c r="E3761" s="3" t="str">
        <f t="shared" si="58"/>
        <v/>
      </c>
    </row>
    <row r="3762" spans="5:5" x14ac:dyDescent="0.25">
      <c r="E3762" s="3" t="str">
        <f t="shared" si="58"/>
        <v/>
      </c>
    </row>
    <row r="3763" spans="5:5" x14ac:dyDescent="0.25">
      <c r="E3763" s="3" t="str">
        <f t="shared" si="58"/>
        <v/>
      </c>
    </row>
    <row r="3764" spans="5:5" x14ac:dyDescent="0.25">
      <c r="E3764" s="3" t="str">
        <f t="shared" si="58"/>
        <v/>
      </c>
    </row>
    <row r="3765" spans="5:5" x14ac:dyDescent="0.25">
      <c r="E3765" s="3" t="str">
        <f t="shared" si="58"/>
        <v/>
      </c>
    </row>
    <row r="3766" spans="5:5" x14ac:dyDescent="0.25">
      <c r="E3766" s="3" t="str">
        <f t="shared" si="58"/>
        <v/>
      </c>
    </row>
    <row r="3767" spans="5:5" x14ac:dyDescent="0.25">
      <c r="E3767" s="3" t="str">
        <f t="shared" si="58"/>
        <v/>
      </c>
    </row>
    <row r="3768" spans="5:5" x14ac:dyDescent="0.25">
      <c r="E3768" s="3" t="str">
        <f t="shared" si="58"/>
        <v/>
      </c>
    </row>
    <row r="3769" spans="5:5" x14ac:dyDescent="0.25">
      <c r="E3769" s="3" t="str">
        <f t="shared" si="58"/>
        <v/>
      </c>
    </row>
    <row r="3770" spans="5:5" x14ac:dyDescent="0.25">
      <c r="E3770" s="3" t="str">
        <f t="shared" si="58"/>
        <v/>
      </c>
    </row>
    <row r="3771" spans="5:5" x14ac:dyDescent="0.25">
      <c r="E3771" s="3" t="str">
        <f t="shared" si="58"/>
        <v/>
      </c>
    </row>
    <row r="3772" spans="5:5" x14ac:dyDescent="0.25">
      <c r="E3772" s="3" t="str">
        <f t="shared" si="58"/>
        <v/>
      </c>
    </row>
    <row r="3773" spans="5:5" x14ac:dyDescent="0.25">
      <c r="E3773" s="3" t="str">
        <f t="shared" si="58"/>
        <v/>
      </c>
    </row>
    <row r="3774" spans="5:5" x14ac:dyDescent="0.25">
      <c r="E3774" s="3" t="str">
        <f t="shared" si="58"/>
        <v/>
      </c>
    </row>
    <row r="3775" spans="5:5" x14ac:dyDescent="0.25">
      <c r="E3775" s="3" t="str">
        <f t="shared" si="58"/>
        <v/>
      </c>
    </row>
    <row r="3776" spans="5:5" x14ac:dyDescent="0.25">
      <c r="E3776" s="3" t="str">
        <f t="shared" si="58"/>
        <v/>
      </c>
    </row>
    <row r="3777" spans="5:5" x14ac:dyDescent="0.25">
      <c r="E3777" s="3" t="str">
        <f t="shared" si="58"/>
        <v/>
      </c>
    </row>
    <row r="3778" spans="5:5" x14ac:dyDescent="0.25">
      <c r="E3778" s="3" t="str">
        <f t="shared" si="58"/>
        <v/>
      </c>
    </row>
    <row r="3779" spans="5:5" x14ac:dyDescent="0.25">
      <c r="E3779" s="3" t="str">
        <f t="shared" ref="E3779:E3842" si="59">IF(COUNTIF(C$3:C$5000,C3779)&gt;1,"DUPLICADO","")</f>
        <v/>
      </c>
    </row>
    <row r="3780" spans="5:5" x14ac:dyDescent="0.25">
      <c r="E3780" s="3" t="str">
        <f t="shared" si="59"/>
        <v/>
      </c>
    </row>
    <row r="3781" spans="5:5" x14ac:dyDescent="0.25">
      <c r="E3781" s="3" t="str">
        <f t="shared" si="59"/>
        <v/>
      </c>
    </row>
    <row r="3782" spans="5:5" x14ac:dyDescent="0.25">
      <c r="E3782" s="3" t="str">
        <f t="shared" si="59"/>
        <v/>
      </c>
    </row>
    <row r="3783" spans="5:5" x14ac:dyDescent="0.25">
      <c r="E3783" s="3" t="str">
        <f t="shared" si="59"/>
        <v/>
      </c>
    </row>
    <row r="3784" spans="5:5" x14ac:dyDescent="0.25">
      <c r="E3784" s="3" t="str">
        <f t="shared" si="59"/>
        <v/>
      </c>
    </row>
    <row r="3785" spans="5:5" x14ac:dyDescent="0.25">
      <c r="E3785" s="3" t="str">
        <f t="shared" si="59"/>
        <v/>
      </c>
    </row>
    <row r="3786" spans="5:5" x14ac:dyDescent="0.25">
      <c r="E3786" s="3" t="str">
        <f t="shared" si="59"/>
        <v/>
      </c>
    </row>
    <row r="3787" spans="5:5" x14ac:dyDescent="0.25">
      <c r="E3787" s="3" t="str">
        <f t="shared" si="59"/>
        <v/>
      </c>
    </row>
    <row r="3788" spans="5:5" x14ac:dyDescent="0.25">
      <c r="E3788" s="3" t="str">
        <f t="shared" si="59"/>
        <v/>
      </c>
    </row>
    <row r="3789" spans="5:5" x14ac:dyDescent="0.25">
      <c r="E3789" s="3" t="str">
        <f t="shared" si="59"/>
        <v/>
      </c>
    </row>
    <row r="3790" spans="5:5" x14ac:dyDescent="0.25">
      <c r="E3790" s="3" t="str">
        <f t="shared" si="59"/>
        <v/>
      </c>
    </row>
    <row r="3791" spans="5:5" x14ac:dyDescent="0.25">
      <c r="E3791" s="3" t="str">
        <f t="shared" si="59"/>
        <v/>
      </c>
    </row>
    <row r="3792" spans="5:5" x14ac:dyDescent="0.25">
      <c r="E3792" s="3" t="str">
        <f t="shared" si="59"/>
        <v/>
      </c>
    </row>
    <row r="3793" spans="5:5" x14ac:dyDescent="0.25">
      <c r="E3793" s="3" t="str">
        <f t="shared" si="59"/>
        <v/>
      </c>
    </row>
    <row r="3794" spans="5:5" x14ac:dyDescent="0.25">
      <c r="E3794" s="3" t="str">
        <f t="shared" si="59"/>
        <v/>
      </c>
    </row>
    <row r="3795" spans="5:5" x14ac:dyDescent="0.25">
      <c r="E3795" s="3" t="str">
        <f t="shared" si="59"/>
        <v/>
      </c>
    </row>
    <row r="3796" spans="5:5" x14ac:dyDescent="0.25">
      <c r="E3796" s="3" t="str">
        <f t="shared" si="59"/>
        <v/>
      </c>
    </row>
    <row r="3797" spans="5:5" x14ac:dyDescent="0.25">
      <c r="E3797" s="3" t="str">
        <f t="shared" si="59"/>
        <v/>
      </c>
    </row>
    <row r="3798" spans="5:5" x14ac:dyDescent="0.25">
      <c r="E3798" s="3" t="str">
        <f t="shared" si="59"/>
        <v/>
      </c>
    </row>
    <row r="3799" spans="5:5" x14ac:dyDescent="0.25">
      <c r="E3799" s="3" t="str">
        <f t="shared" si="59"/>
        <v/>
      </c>
    </row>
    <row r="3800" spans="5:5" x14ac:dyDescent="0.25">
      <c r="E3800" s="3" t="str">
        <f t="shared" si="59"/>
        <v/>
      </c>
    </row>
    <row r="3801" spans="5:5" x14ac:dyDescent="0.25">
      <c r="E3801" s="3" t="str">
        <f t="shared" si="59"/>
        <v/>
      </c>
    </row>
    <row r="3802" spans="5:5" x14ac:dyDescent="0.25">
      <c r="E3802" s="3" t="str">
        <f t="shared" si="59"/>
        <v/>
      </c>
    </row>
    <row r="3803" spans="5:5" x14ac:dyDescent="0.25">
      <c r="E3803" s="3" t="str">
        <f t="shared" si="59"/>
        <v/>
      </c>
    </row>
    <row r="3804" spans="5:5" x14ac:dyDescent="0.25">
      <c r="E3804" s="3" t="str">
        <f t="shared" si="59"/>
        <v/>
      </c>
    </row>
    <row r="3805" spans="5:5" x14ac:dyDescent="0.25">
      <c r="E3805" s="3" t="str">
        <f t="shared" si="59"/>
        <v/>
      </c>
    </row>
    <row r="3806" spans="5:5" x14ac:dyDescent="0.25">
      <c r="E3806" s="3" t="str">
        <f t="shared" si="59"/>
        <v/>
      </c>
    </row>
    <row r="3807" spans="5:5" x14ac:dyDescent="0.25">
      <c r="E3807" s="3" t="str">
        <f t="shared" si="59"/>
        <v/>
      </c>
    </row>
    <row r="3808" spans="5:5" x14ac:dyDescent="0.25">
      <c r="E3808" s="3" t="str">
        <f t="shared" si="59"/>
        <v/>
      </c>
    </row>
    <row r="3809" spans="5:5" x14ac:dyDescent="0.25">
      <c r="E3809" s="3" t="str">
        <f t="shared" si="59"/>
        <v/>
      </c>
    </row>
    <row r="3810" spans="5:5" x14ac:dyDescent="0.25">
      <c r="E3810" s="3" t="str">
        <f t="shared" si="59"/>
        <v/>
      </c>
    </row>
    <row r="3811" spans="5:5" x14ac:dyDescent="0.25">
      <c r="E3811" s="3" t="str">
        <f t="shared" si="59"/>
        <v/>
      </c>
    </row>
    <row r="3812" spans="5:5" x14ac:dyDescent="0.25">
      <c r="E3812" s="3" t="str">
        <f t="shared" si="59"/>
        <v/>
      </c>
    </row>
    <row r="3813" spans="5:5" x14ac:dyDescent="0.25">
      <c r="E3813" s="3" t="str">
        <f t="shared" si="59"/>
        <v/>
      </c>
    </row>
    <row r="3814" spans="5:5" x14ac:dyDescent="0.25">
      <c r="E3814" s="3" t="str">
        <f t="shared" si="59"/>
        <v/>
      </c>
    </row>
    <row r="3815" spans="5:5" x14ac:dyDescent="0.25">
      <c r="E3815" s="3" t="str">
        <f t="shared" si="59"/>
        <v/>
      </c>
    </row>
    <row r="3816" spans="5:5" x14ac:dyDescent="0.25">
      <c r="E3816" s="3" t="str">
        <f t="shared" si="59"/>
        <v/>
      </c>
    </row>
    <row r="3817" spans="5:5" x14ac:dyDescent="0.25">
      <c r="E3817" s="3" t="str">
        <f t="shared" si="59"/>
        <v/>
      </c>
    </row>
    <row r="3818" spans="5:5" x14ac:dyDescent="0.25">
      <c r="E3818" s="3" t="str">
        <f t="shared" si="59"/>
        <v/>
      </c>
    </row>
    <row r="3819" spans="5:5" x14ac:dyDescent="0.25">
      <c r="E3819" s="3" t="str">
        <f t="shared" si="59"/>
        <v/>
      </c>
    </row>
    <row r="3820" spans="5:5" x14ac:dyDescent="0.25">
      <c r="E3820" s="3" t="str">
        <f t="shared" si="59"/>
        <v/>
      </c>
    </row>
    <row r="3821" spans="5:5" x14ac:dyDescent="0.25">
      <c r="E3821" s="3" t="str">
        <f t="shared" si="59"/>
        <v/>
      </c>
    </row>
    <row r="3822" spans="5:5" x14ac:dyDescent="0.25">
      <c r="E3822" s="3" t="str">
        <f t="shared" si="59"/>
        <v/>
      </c>
    </row>
    <row r="3823" spans="5:5" x14ac:dyDescent="0.25">
      <c r="E3823" s="3" t="str">
        <f t="shared" si="59"/>
        <v/>
      </c>
    </row>
    <row r="3824" spans="5:5" x14ac:dyDescent="0.25">
      <c r="E3824" s="3" t="str">
        <f t="shared" si="59"/>
        <v/>
      </c>
    </row>
    <row r="3825" spans="5:5" x14ac:dyDescent="0.25">
      <c r="E3825" s="3" t="str">
        <f t="shared" si="59"/>
        <v/>
      </c>
    </row>
    <row r="3826" spans="5:5" x14ac:dyDescent="0.25">
      <c r="E3826" s="3" t="str">
        <f t="shared" si="59"/>
        <v/>
      </c>
    </row>
    <row r="3827" spans="5:5" x14ac:dyDescent="0.25">
      <c r="E3827" s="3" t="str">
        <f t="shared" si="59"/>
        <v/>
      </c>
    </row>
    <row r="3828" spans="5:5" x14ac:dyDescent="0.25">
      <c r="E3828" s="3" t="str">
        <f t="shared" si="59"/>
        <v/>
      </c>
    </row>
    <row r="3829" spans="5:5" x14ac:dyDescent="0.25">
      <c r="E3829" s="3" t="str">
        <f t="shared" si="59"/>
        <v/>
      </c>
    </row>
    <row r="3830" spans="5:5" x14ac:dyDescent="0.25">
      <c r="E3830" s="3" t="str">
        <f t="shared" si="59"/>
        <v/>
      </c>
    </row>
    <row r="3831" spans="5:5" x14ac:dyDescent="0.25">
      <c r="E3831" s="3" t="str">
        <f t="shared" si="59"/>
        <v/>
      </c>
    </row>
    <row r="3832" spans="5:5" x14ac:dyDescent="0.25">
      <c r="E3832" s="3" t="str">
        <f t="shared" si="59"/>
        <v/>
      </c>
    </row>
    <row r="3833" spans="5:5" x14ac:dyDescent="0.25">
      <c r="E3833" s="3" t="str">
        <f t="shared" si="59"/>
        <v/>
      </c>
    </row>
    <row r="3834" spans="5:5" x14ac:dyDescent="0.25">
      <c r="E3834" s="3" t="str">
        <f t="shared" si="59"/>
        <v/>
      </c>
    </row>
    <row r="3835" spans="5:5" x14ac:dyDescent="0.25">
      <c r="E3835" s="3" t="str">
        <f t="shared" si="59"/>
        <v/>
      </c>
    </row>
    <row r="3836" spans="5:5" x14ac:dyDescent="0.25">
      <c r="E3836" s="3" t="str">
        <f t="shared" si="59"/>
        <v/>
      </c>
    </row>
    <row r="3837" spans="5:5" x14ac:dyDescent="0.25">
      <c r="E3837" s="3" t="str">
        <f t="shared" si="59"/>
        <v/>
      </c>
    </row>
    <row r="3838" spans="5:5" x14ac:dyDescent="0.25">
      <c r="E3838" s="3" t="str">
        <f t="shared" si="59"/>
        <v/>
      </c>
    </row>
    <row r="3839" spans="5:5" x14ac:dyDescent="0.25">
      <c r="E3839" s="3" t="str">
        <f t="shared" si="59"/>
        <v/>
      </c>
    </row>
    <row r="3840" spans="5:5" x14ac:dyDescent="0.25">
      <c r="E3840" s="3" t="str">
        <f t="shared" si="59"/>
        <v/>
      </c>
    </row>
    <row r="3841" spans="5:5" x14ac:dyDescent="0.25">
      <c r="E3841" s="3" t="str">
        <f t="shared" si="59"/>
        <v/>
      </c>
    </row>
    <row r="3842" spans="5:5" x14ac:dyDescent="0.25">
      <c r="E3842" s="3" t="str">
        <f t="shared" si="59"/>
        <v/>
      </c>
    </row>
    <row r="3843" spans="5:5" x14ac:dyDescent="0.25">
      <c r="E3843" s="3" t="str">
        <f t="shared" ref="E3843:E3901" si="60">IF(COUNTIF(C$3:C$5000,C3843)&gt;1,"DUPLICADO","")</f>
        <v/>
      </c>
    </row>
    <row r="3844" spans="5:5" x14ac:dyDescent="0.25">
      <c r="E3844" s="3" t="str">
        <f t="shared" si="60"/>
        <v/>
      </c>
    </row>
    <row r="3845" spans="5:5" x14ac:dyDescent="0.25">
      <c r="E3845" s="3" t="str">
        <f t="shared" si="60"/>
        <v/>
      </c>
    </row>
    <row r="3846" spans="5:5" x14ac:dyDescent="0.25">
      <c r="E3846" s="3" t="str">
        <f t="shared" si="60"/>
        <v/>
      </c>
    </row>
    <row r="3847" spans="5:5" x14ac:dyDescent="0.25">
      <c r="E3847" s="3" t="str">
        <f t="shared" si="60"/>
        <v/>
      </c>
    </row>
    <row r="3848" spans="5:5" x14ac:dyDescent="0.25">
      <c r="E3848" s="3" t="str">
        <f t="shared" si="60"/>
        <v/>
      </c>
    </row>
    <row r="3849" spans="5:5" x14ac:dyDescent="0.25">
      <c r="E3849" s="3" t="str">
        <f t="shared" si="60"/>
        <v/>
      </c>
    </row>
    <row r="3850" spans="5:5" x14ac:dyDescent="0.25">
      <c r="E3850" s="3" t="str">
        <f t="shared" si="60"/>
        <v/>
      </c>
    </row>
    <row r="3851" spans="5:5" x14ac:dyDescent="0.25">
      <c r="E3851" s="3" t="str">
        <f t="shared" si="60"/>
        <v/>
      </c>
    </row>
    <row r="3852" spans="5:5" x14ac:dyDescent="0.25">
      <c r="E3852" s="3" t="str">
        <f t="shared" si="60"/>
        <v/>
      </c>
    </row>
    <row r="3853" spans="5:5" x14ac:dyDescent="0.25">
      <c r="E3853" s="3" t="str">
        <f t="shared" si="60"/>
        <v/>
      </c>
    </row>
    <row r="3854" spans="5:5" x14ac:dyDescent="0.25">
      <c r="E3854" s="3" t="str">
        <f t="shared" si="60"/>
        <v/>
      </c>
    </row>
    <row r="3855" spans="5:5" x14ac:dyDescent="0.25">
      <c r="E3855" s="3" t="str">
        <f t="shared" si="60"/>
        <v/>
      </c>
    </row>
    <row r="3856" spans="5:5" x14ac:dyDescent="0.25">
      <c r="E3856" s="3" t="str">
        <f t="shared" si="60"/>
        <v/>
      </c>
    </row>
    <row r="3857" spans="5:5" x14ac:dyDescent="0.25">
      <c r="E3857" s="3" t="str">
        <f t="shared" si="60"/>
        <v/>
      </c>
    </row>
    <row r="3858" spans="5:5" x14ac:dyDescent="0.25">
      <c r="E3858" s="3" t="str">
        <f t="shared" si="60"/>
        <v/>
      </c>
    </row>
    <row r="3859" spans="5:5" x14ac:dyDescent="0.25">
      <c r="E3859" s="3" t="str">
        <f t="shared" si="60"/>
        <v/>
      </c>
    </row>
    <row r="3860" spans="5:5" x14ac:dyDescent="0.25">
      <c r="E3860" s="3" t="str">
        <f t="shared" si="60"/>
        <v/>
      </c>
    </row>
    <row r="3861" spans="5:5" x14ac:dyDescent="0.25">
      <c r="E3861" s="3" t="str">
        <f t="shared" si="60"/>
        <v/>
      </c>
    </row>
    <row r="3862" spans="5:5" x14ac:dyDescent="0.25">
      <c r="E3862" s="3" t="str">
        <f t="shared" si="60"/>
        <v/>
      </c>
    </row>
    <row r="3863" spans="5:5" x14ac:dyDescent="0.25">
      <c r="E3863" s="3" t="str">
        <f t="shared" si="60"/>
        <v/>
      </c>
    </row>
    <row r="3864" spans="5:5" x14ac:dyDescent="0.25">
      <c r="E3864" s="3" t="str">
        <f t="shared" si="60"/>
        <v/>
      </c>
    </row>
    <row r="3865" spans="5:5" x14ac:dyDescent="0.25">
      <c r="E3865" s="3" t="str">
        <f t="shared" si="60"/>
        <v/>
      </c>
    </row>
    <row r="3866" spans="5:5" x14ac:dyDescent="0.25">
      <c r="E3866" s="3" t="str">
        <f t="shared" si="60"/>
        <v/>
      </c>
    </row>
    <row r="3867" spans="5:5" x14ac:dyDescent="0.25">
      <c r="E3867" s="3" t="str">
        <f t="shared" si="60"/>
        <v/>
      </c>
    </row>
    <row r="3868" spans="5:5" x14ac:dyDescent="0.25">
      <c r="E3868" s="3" t="str">
        <f t="shared" si="60"/>
        <v/>
      </c>
    </row>
    <row r="3869" spans="5:5" x14ac:dyDescent="0.25">
      <c r="E3869" s="3" t="str">
        <f t="shared" si="60"/>
        <v/>
      </c>
    </row>
    <row r="3870" spans="5:5" x14ac:dyDescent="0.25">
      <c r="E3870" s="3" t="str">
        <f t="shared" si="60"/>
        <v/>
      </c>
    </row>
    <row r="3871" spans="5:5" x14ac:dyDescent="0.25">
      <c r="E3871" s="3" t="str">
        <f t="shared" si="60"/>
        <v/>
      </c>
    </row>
    <row r="3872" spans="5:5" x14ac:dyDescent="0.25">
      <c r="E3872" s="3" t="str">
        <f t="shared" si="60"/>
        <v/>
      </c>
    </row>
    <row r="3873" spans="5:5" x14ac:dyDescent="0.25">
      <c r="E3873" s="3" t="str">
        <f t="shared" si="60"/>
        <v/>
      </c>
    </row>
    <row r="3874" spans="5:5" x14ac:dyDescent="0.25">
      <c r="E3874" s="3" t="str">
        <f t="shared" si="60"/>
        <v/>
      </c>
    </row>
    <row r="3875" spans="5:5" x14ac:dyDescent="0.25">
      <c r="E3875" s="3" t="str">
        <f t="shared" si="60"/>
        <v/>
      </c>
    </row>
    <row r="3876" spans="5:5" x14ac:dyDescent="0.25">
      <c r="E3876" s="3" t="str">
        <f t="shared" si="60"/>
        <v/>
      </c>
    </row>
    <row r="3877" spans="5:5" x14ac:dyDescent="0.25">
      <c r="E3877" s="3" t="str">
        <f t="shared" si="60"/>
        <v/>
      </c>
    </row>
    <row r="3878" spans="5:5" x14ac:dyDescent="0.25">
      <c r="E3878" s="3" t="str">
        <f t="shared" si="60"/>
        <v/>
      </c>
    </row>
    <row r="3879" spans="5:5" x14ac:dyDescent="0.25">
      <c r="E3879" s="3" t="str">
        <f t="shared" si="60"/>
        <v/>
      </c>
    </row>
    <row r="3880" spans="5:5" x14ac:dyDescent="0.25">
      <c r="E3880" s="3" t="str">
        <f t="shared" si="60"/>
        <v/>
      </c>
    </row>
    <row r="3881" spans="5:5" x14ac:dyDescent="0.25">
      <c r="E3881" s="3" t="str">
        <f t="shared" si="60"/>
        <v/>
      </c>
    </row>
    <row r="3882" spans="5:5" x14ac:dyDescent="0.25">
      <c r="E3882" s="3" t="str">
        <f t="shared" si="60"/>
        <v/>
      </c>
    </row>
    <row r="3883" spans="5:5" x14ac:dyDescent="0.25">
      <c r="E3883" s="3" t="str">
        <f t="shared" si="60"/>
        <v/>
      </c>
    </row>
    <row r="3884" spans="5:5" x14ac:dyDescent="0.25">
      <c r="E3884" s="3" t="str">
        <f t="shared" si="60"/>
        <v/>
      </c>
    </row>
    <row r="3885" spans="5:5" x14ac:dyDescent="0.25">
      <c r="E3885" s="3" t="str">
        <f t="shared" si="60"/>
        <v/>
      </c>
    </row>
    <row r="3886" spans="5:5" x14ac:dyDescent="0.25">
      <c r="E3886" s="3" t="str">
        <f t="shared" si="60"/>
        <v/>
      </c>
    </row>
    <row r="3887" spans="5:5" x14ac:dyDescent="0.25">
      <c r="E3887" s="3" t="str">
        <f t="shared" si="60"/>
        <v/>
      </c>
    </row>
    <row r="3888" spans="5:5" x14ac:dyDescent="0.25">
      <c r="E3888" s="3" t="str">
        <f t="shared" si="60"/>
        <v/>
      </c>
    </row>
    <row r="3889" spans="5:5" x14ac:dyDescent="0.25">
      <c r="E3889" s="3" t="str">
        <f t="shared" si="60"/>
        <v/>
      </c>
    </row>
    <row r="3890" spans="5:5" x14ac:dyDescent="0.25">
      <c r="E3890" s="3" t="str">
        <f t="shared" si="60"/>
        <v/>
      </c>
    </row>
    <row r="3891" spans="5:5" x14ac:dyDescent="0.25">
      <c r="E3891" s="3" t="str">
        <f t="shared" si="60"/>
        <v/>
      </c>
    </row>
    <row r="3892" spans="5:5" x14ac:dyDescent="0.25">
      <c r="E3892" s="3" t="str">
        <f t="shared" si="60"/>
        <v/>
      </c>
    </row>
    <row r="3893" spans="5:5" x14ac:dyDescent="0.25">
      <c r="E3893" s="3" t="str">
        <f t="shared" si="60"/>
        <v/>
      </c>
    </row>
    <row r="3894" spans="5:5" x14ac:dyDescent="0.25">
      <c r="E3894" s="3" t="str">
        <f t="shared" si="60"/>
        <v/>
      </c>
    </row>
    <row r="3895" spans="5:5" x14ac:dyDescent="0.25">
      <c r="E3895" s="3" t="str">
        <f t="shared" si="60"/>
        <v/>
      </c>
    </row>
    <row r="3896" spans="5:5" x14ac:dyDescent="0.25">
      <c r="E3896" s="3" t="str">
        <f t="shared" si="60"/>
        <v/>
      </c>
    </row>
    <row r="3897" spans="5:5" x14ac:dyDescent="0.25">
      <c r="E3897" s="3" t="str">
        <f t="shared" si="60"/>
        <v/>
      </c>
    </row>
    <row r="3898" spans="5:5" x14ac:dyDescent="0.25">
      <c r="E3898" s="3" t="str">
        <f t="shared" si="60"/>
        <v/>
      </c>
    </row>
    <row r="3899" spans="5:5" x14ac:dyDescent="0.25">
      <c r="E3899" s="3" t="str">
        <f t="shared" si="60"/>
        <v/>
      </c>
    </row>
    <row r="3900" spans="5:5" x14ac:dyDescent="0.25">
      <c r="E3900" s="3" t="str">
        <f t="shared" si="60"/>
        <v/>
      </c>
    </row>
    <row r="3901" spans="5:5" x14ac:dyDescent="0.25">
      <c r="E3901" s="3" t="str">
        <f t="shared" si="60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D59"/>
  <sheetViews>
    <sheetView showGridLines="0" zoomScale="84" zoomScaleNormal="84" workbookViewId="0">
      <selection activeCell="I5" sqref="I5"/>
    </sheetView>
  </sheetViews>
  <sheetFormatPr baseColWidth="10" defaultRowHeight="15" x14ac:dyDescent="0.25"/>
  <cols>
    <col min="1" max="1" width="13" customWidth="1"/>
    <col min="2" max="2" width="30.7109375" customWidth="1"/>
    <col min="3" max="3" width="16.42578125" style="29" bestFit="1" customWidth="1"/>
    <col min="4" max="4" width="15.140625" style="22" bestFit="1" customWidth="1"/>
    <col min="5" max="6" width="15.140625" style="22" customWidth="1"/>
    <col min="7" max="7" width="9.7109375" style="22" customWidth="1"/>
    <col min="8" max="8" width="24" customWidth="1"/>
    <col min="9" max="9" width="13.5703125" style="3" customWidth="1"/>
    <col min="10" max="10" width="14.85546875" style="3" customWidth="1"/>
    <col min="11" max="11" width="15" style="3" customWidth="1"/>
    <col min="12" max="12" width="16.42578125" style="3" customWidth="1"/>
    <col min="13" max="13" width="11.140625" style="3" customWidth="1"/>
    <col min="14" max="14" width="11" style="3" customWidth="1"/>
    <col min="15" max="16" width="14" style="3" customWidth="1"/>
    <col min="17" max="17" width="16" style="3" customWidth="1"/>
    <col min="18" max="19" width="13" style="3" customWidth="1"/>
    <col min="20" max="20" width="16.7109375" style="3" customWidth="1"/>
    <col min="21" max="21" width="15.28515625" style="3" customWidth="1"/>
    <col min="22" max="22" width="15.85546875" customWidth="1"/>
    <col min="23" max="23" width="19.85546875" customWidth="1"/>
    <col min="24" max="24" width="14.5703125" customWidth="1"/>
    <col min="25" max="25" width="16.42578125" customWidth="1"/>
    <col min="26" max="26" width="17.140625" customWidth="1"/>
    <col min="27" max="27" width="19.5703125" customWidth="1"/>
  </cols>
  <sheetData>
    <row r="1" spans="1:22" ht="69" customHeight="1" x14ac:dyDescent="0.25"/>
    <row r="2" spans="1:22" ht="19.5" thickBot="1" x14ac:dyDescent="0.35">
      <c r="A2" s="12"/>
      <c r="B2" s="76"/>
      <c r="C2" s="77"/>
      <c r="D2" s="78"/>
      <c r="E2" s="78"/>
      <c r="F2" s="78"/>
      <c r="G2" s="78"/>
      <c r="H2" s="7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22" ht="18.75" customHeight="1" x14ac:dyDescent="0.25">
      <c r="A3" s="123" t="s">
        <v>0</v>
      </c>
      <c r="B3" s="124"/>
      <c r="H3" s="125" t="s">
        <v>1</v>
      </c>
      <c r="I3" s="126"/>
      <c r="J3" s="58" t="s">
        <v>48</v>
      </c>
      <c r="K3" s="60"/>
      <c r="L3" s="11"/>
      <c r="M3" s="11"/>
      <c r="N3" s="11"/>
      <c r="O3" s="11"/>
      <c r="P3" s="11"/>
      <c r="Q3" s="11"/>
      <c r="R3" s="11"/>
      <c r="S3" s="11"/>
      <c r="T3" s="10"/>
      <c r="U3" s="10"/>
      <c r="V3" s="7"/>
    </row>
    <row r="4" spans="1:22" ht="19.5" thickBot="1" x14ac:dyDescent="0.35">
      <c r="A4" s="1" t="s">
        <v>6</v>
      </c>
      <c r="B4" s="80">
        <f>+H52</f>
        <v>0</v>
      </c>
      <c r="H4" s="2" t="s">
        <v>27</v>
      </c>
      <c r="I4" s="28"/>
      <c r="J4" s="59" t="s">
        <v>49</v>
      </c>
      <c r="K4" s="6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16.5" thickBot="1" x14ac:dyDescent="0.3">
      <c r="B5" s="57"/>
      <c r="H5" s="54" t="s">
        <v>20</v>
      </c>
      <c r="I5" s="66">
        <v>1000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ht="19.5" thickBot="1" x14ac:dyDescent="0.35">
      <c r="A6" s="13"/>
      <c r="B6" s="5"/>
      <c r="H6" s="54" t="s">
        <v>18</v>
      </c>
      <c r="I6" s="66">
        <v>150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 x14ac:dyDescent="0.25">
      <c r="H7" s="54" t="s">
        <v>89</v>
      </c>
      <c r="I7" s="86"/>
      <c r="J7" s="11"/>
      <c r="L7" s="11"/>
      <c r="M7" s="11"/>
      <c r="N7" s="11"/>
      <c r="O7" s="11"/>
      <c r="P7" s="11"/>
      <c r="Q7" s="11"/>
      <c r="R7" s="11"/>
      <c r="S7" s="11"/>
      <c r="T7" s="11"/>
      <c r="U7" s="9"/>
      <c r="V7" s="9"/>
    </row>
    <row r="8" spans="1:22" x14ac:dyDescent="0.25">
      <c r="H8" s="54" t="s">
        <v>2</v>
      </c>
      <c r="I8" s="86" t="s">
        <v>93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ht="15.75" x14ac:dyDescent="0.25">
      <c r="A9" s="13" t="s">
        <v>151</v>
      </c>
      <c r="B9" s="47">
        <v>0</v>
      </c>
      <c r="C9" s="43"/>
      <c r="H9" s="54"/>
      <c r="I9" s="66"/>
      <c r="J9" s="11"/>
      <c r="K9" s="11"/>
      <c r="L9" s="11" t="s">
        <v>109</v>
      </c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ht="15.75" x14ac:dyDescent="0.25">
      <c r="A10" s="13" t="s">
        <v>40</v>
      </c>
      <c r="B10" s="47">
        <v>15</v>
      </c>
      <c r="C10" s="43" t="s">
        <v>11</v>
      </c>
      <c r="H10" s="54" t="s">
        <v>26</v>
      </c>
      <c r="I10" s="86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5">
      <c r="A11" s="12"/>
      <c r="H11" s="54" t="s">
        <v>3</v>
      </c>
      <c r="I11" s="66">
        <v>332.58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x14ac:dyDescent="0.25">
      <c r="A12" s="12"/>
      <c r="B12" s="20" t="s">
        <v>14</v>
      </c>
      <c r="C12" s="30" t="s">
        <v>22</v>
      </c>
      <c r="D12" s="6" t="s">
        <v>23</v>
      </c>
      <c r="E12" s="6"/>
      <c r="F12" s="6"/>
      <c r="G12" s="6" t="s">
        <v>25</v>
      </c>
      <c r="H12" s="55" t="s">
        <v>4</v>
      </c>
      <c r="I12" s="66">
        <v>470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A13" s="19" t="s">
        <v>15</v>
      </c>
      <c r="B13" s="81"/>
      <c r="C13" s="51" t="s">
        <v>24</v>
      </c>
      <c r="D13" s="52"/>
      <c r="E13" s="52"/>
      <c r="F13" s="52"/>
      <c r="G13" s="53"/>
      <c r="H13" s="55" t="s">
        <v>12</v>
      </c>
      <c r="I13" s="86" t="s">
        <v>93</v>
      </c>
      <c r="J13" s="11"/>
      <c r="K13" s="11"/>
      <c r="L13" s="11"/>
      <c r="M13" s="11"/>
      <c r="P13" s="11"/>
      <c r="Q13" s="11"/>
      <c r="R13" s="11"/>
      <c r="S13" s="11"/>
      <c r="T13" s="11"/>
      <c r="U13" s="11"/>
      <c r="V13" s="11"/>
    </row>
    <row r="14" spans="1:22" ht="15.75" thickBot="1" x14ac:dyDescent="0.3">
      <c r="A14" s="21" t="s">
        <v>16</v>
      </c>
      <c r="B14" s="81"/>
      <c r="C14" s="51" t="s">
        <v>21</v>
      </c>
      <c r="D14" s="52"/>
      <c r="E14" s="52"/>
      <c r="F14" s="52"/>
      <c r="G14" s="53"/>
      <c r="H14" s="55" t="s">
        <v>5</v>
      </c>
      <c r="I14" s="66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ht="19.5" thickBot="1" x14ac:dyDescent="0.35">
      <c r="A15" s="21" t="s">
        <v>17</v>
      </c>
      <c r="B15" s="81"/>
      <c r="C15" s="51" t="s">
        <v>21</v>
      </c>
      <c r="D15" s="52"/>
      <c r="E15" s="52"/>
      <c r="F15" s="52"/>
      <c r="G15" s="53"/>
      <c r="H15" s="4" t="s">
        <v>7</v>
      </c>
      <c r="I15" s="56">
        <f>SUM(I5:I14)</f>
        <v>1952.58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18.75" x14ac:dyDescent="0.3">
      <c r="A16" s="12"/>
      <c r="B16" s="82">
        <f>SUM(B13:B15)</f>
        <v>0</v>
      </c>
      <c r="H16" s="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30" ht="28.5" x14ac:dyDescent="0.45">
      <c r="A17" s="83" t="s">
        <v>90</v>
      </c>
      <c r="B17" s="84">
        <f>+B4-B16</f>
        <v>0</v>
      </c>
      <c r="H17" s="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30" ht="21" x14ac:dyDescent="0.35">
      <c r="A18" s="12"/>
      <c r="B18" s="15" t="s">
        <v>47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30" ht="60.75" customHeight="1" x14ac:dyDescent="0.45">
      <c r="A19" s="35" t="s">
        <v>28</v>
      </c>
      <c r="B19" s="35" t="s">
        <v>9</v>
      </c>
      <c r="C19" s="35" t="s">
        <v>10</v>
      </c>
      <c r="D19" s="35" t="s">
        <v>30</v>
      </c>
      <c r="E19" s="87" t="s">
        <v>106</v>
      </c>
      <c r="F19" s="87" t="s">
        <v>107</v>
      </c>
      <c r="G19" s="33" t="s">
        <v>13</v>
      </c>
      <c r="H19" s="33" t="s">
        <v>36</v>
      </c>
      <c r="I19" s="36" t="s">
        <v>61</v>
      </c>
      <c r="J19" s="36" t="s">
        <v>35</v>
      </c>
      <c r="K19" s="36" t="s">
        <v>39</v>
      </c>
      <c r="L19" s="36" t="s">
        <v>37</v>
      </c>
      <c r="M19" s="37" t="s">
        <v>31</v>
      </c>
      <c r="N19" s="39" t="s">
        <v>32</v>
      </c>
      <c r="O19" s="36" t="s">
        <v>60</v>
      </c>
      <c r="P19" s="37" t="s">
        <v>34</v>
      </c>
      <c r="Q19" s="16" t="s">
        <v>110</v>
      </c>
      <c r="R19" s="16" t="s">
        <v>111</v>
      </c>
      <c r="S19" s="16" t="s">
        <v>42</v>
      </c>
      <c r="T19" s="85" t="s">
        <v>91</v>
      </c>
      <c r="U19" s="16" t="s">
        <v>114</v>
      </c>
      <c r="V19" s="16" t="s">
        <v>33</v>
      </c>
      <c r="W19" s="16" t="s">
        <v>115</v>
      </c>
      <c r="X19" s="16" t="s">
        <v>136</v>
      </c>
      <c r="Y19" s="16" t="s">
        <v>44</v>
      </c>
      <c r="Z19" s="16" t="s">
        <v>112</v>
      </c>
      <c r="AA19" s="16" t="s">
        <v>113</v>
      </c>
      <c r="AB19" s="104" t="s">
        <v>138</v>
      </c>
      <c r="AC19" s="104" t="s">
        <v>137</v>
      </c>
      <c r="AD19" s="104" t="s">
        <v>139</v>
      </c>
    </row>
    <row r="20" spans="1:30" x14ac:dyDescent="0.25">
      <c r="A20" s="64"/>
      <c r="B20" s="63"/>
      <c r="C20" s="45"/>
      <c r="D20" s="61" t="str">
        <f t="shared" ref="D20:D51" si="0">IF(C20&lt;&gt;0,+H20/H$52*100,"")</f>
        <v/>
      </c>
      <c r="E20" s="107"/>
      <c r="F20" s="61" t="str">
        <f>IF(C20&lt;&gt;0,C20*E20,"")</f>
        <v/>
      </c>
      <c r="G20" s="107"/>
      <c r="H20" s="34" t="str">
        <f>IF(C20&lt;&gt;0,C20*G20,"")</f>
        <v/>
      </c>
      <c r="I20" s="34" t="str">
        <f t="shared" ref="I20:I51" si="1">IF(C20&lt;&gt;0,+I$15*D20/100,"")</f>
        <v/>
      </c>
      <c r="J20" s="34" t="str">
        <f t="shared" ref="J20:J51" si="2">IF(C20&lt;&gt;0,+J$52*$D20/100, "")</f>
        <v/>
      </c>
      <c r="K20" s="34" t="str">
        <f t="shared" ref="K20:K51" si="3">IF(C20&lt;&gt;0,+K$52*D20/100,"")</f>
        <v/>
      </c>
      <c r="L20" s="34" t="str">
        <f t="shared" ref="L20:L51" si="4">IF(C20&lt;&gt;0,+H20+K20+J20,"")</f>
        <v/>
      </c>
      <c r="M20" s="34" t="str">
        <f t="shared" ref="M20:M51" si="5">IF(C20&lt;&gt;0,+L20*0.005,"")</f>
        <v/>
      </c>
      <c r="N20" s="67" t="str">
        <f t="shared" ref="N20:N51" si="6">IF(C20&lt;&gt;"",VLOOKUP(A20,Aranceles,3,0)*L20/100,"")</f>
        <v/>
      </c>
      <c r="O20" s="67" t="str">
        <f t="shared" ref="O20:O51" si="7">IF(C20&lt;&gt;0,+L20+M20+N20,"")</f>
        <v/>
      </c>
      <c r="P20" s="67" t="str">
        <f>IF(C20&lt;&gt;0,+Tabla13432385[Base Para el Iva]*B$10/100,"")</f>
        <v/>
      </c>
      <c r="Q20" s="34" t="str">
        <f t="shared" ref="Q20:Q51" si="8">IF(C20&lt;&gt;0,+I20+J20+K20+M20+N20,"")</f>
        <v/>
      </c>
      <c r="R20" s="34" t="str">
        <f>IF(C20&lt;&gt;0,+Q20+F20,"")</f>
        <v/>
      </c>
      <c r="S20" s="40" t="str">
        <f>IF(C20&lt;&gt;"",+R20/C20,"")</f>
        <v/>
      </c>
      <c r="T20" s="41" t="str">
        <f>IF(C20&lt;&gt;"",+(Tabla13432385[[COSTO UNITARIO ]]-E20)/E20*100,"")</f>
        <v/>
      </c>
      <c r="U20" s="48"/>
      <c r="V20" s="40" t="str">
        <f t="shared" ref="V20:V51" si="9">IF(C20&lt;&gt;"",S20+(S20*U20/100),"")</f>
        <v/>
      </c>
      <c r="W20" s="48"/>
      <c r="X20" s="42" t="str">
        <f t="shared" ref="X20:X51" si="10">IF(C20&lt;&gt;"",+C20*V20,"")</f>
        <v/>
      </c>
      <c r="Y20" s="41" t="str">
        <f t="shared" ref="Y20:Y51" si="11">IF(C20&lt;&gt;"",+X20-R20,"")</f>
        <v/>
      </c>
      <c r="Z20" s="102" t="str">
        <f>IF(C20&lt;&gt;"",+Tabla13432385[Precio de Venta en Mercado en Dolares]*C20,"")</f>
        <v/>
      </c>
      <c r="AA20" s="103" t="str">
        <f>IF(C20&lt;&gt;"",+Tabla13432385[Proyeccion Ventas]-Tabla13432385[[COSTO TOTAL ]],"")</f>
        <v/>
      </c>
      <c r="AB20" s="105" t="str">
        <f t="shared" ref="AB20:AB51" si="12">IF(C20&lt;&gt;"",+V20*(1 + (B$10/100)),"")</f>
        <v/>
      </c>
      <c r="AC20" s="48"/>
      <c r="AD20" s="105" t="str">
        <f>IF(C20&lt;&gt;"",++AB20*(1+(AC20/100)),"")</f>
        <v/>
      </c>
    </row>
    <row r="21" spans="1:30" x14ac:dyDescent="0.25">
      <c r="A21" s="62"/>
      <c r="B21" s="63"/>
      <c r="C21" s="45"/>
      <c r="D21" s="61" t="str">
        <f t="shared" si="0"/>
        <v/>
      </c>
      <c r="E21" s="107"/>
      <c r="F21" s="61" t="str">
        <f t="shared" ref="F21:F51" si="13">IF(C21&lt;&gt;0,C21*E21,"")</f>
        <v/>
      </c>
      <c r="G21" s="107"/>
      <c r="H21" s="34" t="str">
        <f t="shared" ref="H21:H51" si="14">IF(C21&lt;&gt;0,C21*G21,"")</f>
        <v/>
      </c>
      <c r="I21" s="34" t="str">
        <f t="shared" si="1"/>
        <v/>
      </c>
      <c r="J21" s="34" t="str">
        <f t="shared" si="2"/>
        <v/>
      </c>
      <c r="K21" s="34" t="str">
        <f t="shared" si="3"/>
        <v/>
      </c>
      <c r="L21" s="34" t="str">
        <f t="shared" si="4"/>
        <v/>
      </c>
      <c r="M21" s="34" t="str">
        <f t="shared" si="5"/>
        <v/>
      </c>
      <c r="N21" s="67" t="str">
        <f t="shared" si="6"/>
        <v/>
      </c>
      <c r="O21" s="67" t="str">
        <f t="shared" si="7"/>
        <v/>
      </c>
      <c r="P21" s="67" t="str">
        <f>IF(C21&lt;&gt;0,+Tabla13432385[Base Para el Iva]*B$10/100,"")</f>
        <v/>
      </c>
      <c r="Q21" s="34" t="str">
        <f t="shared" si="8"/>
        <v/>
      </c>
      <c r="R21" s="34" t="str">
        <f t="shared" ref="R21:R51" si="15">IF(C21&lt;&gt;0,+Q21+F21,"")</f>
        <v/>
      </c>
      <c r="S21" s="40" t="str">
        <f t="shared" ref="S21:S51" si="16">IF(C21&lt;&gt;"",+R21/C21,"")</f>
        <v/>
      </c>
      <c r="T21" s="41" t="str">
        <f>IF(C21&lt;&gt;"",+(Tabla13432385[[COSTO UNITARIO ]]-E21)/E21*100,"")</f>
        <v/>
      </c>
      <c r="U21" s="48"/>
      <c r="V21" s="40" t="str">
        <f t="shared" si="9"/>
        <v/>
      </c>
      <c r="W21" s="48"/>
      <c r="X21" s="42" t="str">
        <f t="shared" si="10"/>
        <v/>
      </c>
      <c r="Y21" s="41" t="str">
        <f t="shared" si="11"/>
        <v/>
      </c>
      <c r="Z21" s="102" t="str">
        <f>IF(C21&lt;&gt;"",+Tabla13432385[Precio de Venta en Mercado en Dolares]*C21,"")</f>
        <v/>
      </c>
      <c r="AA21" s="103" t="str">
        <f>IF(C21&lt;&gt;"",+Tabla13432385[Proyeccion Ventas]-Tabla13432385[[COSTO TOTAL ]],"")</f>
        <v/>
      </c>
      <c r="AB21" s="105" t="str">
        <f t="shared" si="12"/>
        <v/>
      </c>
      <c r="AC21" s="48"/>
      <c r="AD21" s="105" t="str">
        <f t="shared" ref="AD21:AD51" si="17">IF(C21&lt;&gt;"",++AB21*(1+(AC21/100)),"")</f>
        <v/>
      </c>
    </row>
    <row r="22" spans="1:30" x14ac:dyDescent="0.25">
      <c r="A22" s="62"/>
      <c r="B22" s="63"/>
      <c r="C22" s="45"/>
      <c r="D22" s="61" t="str">
        <f t="shared" si="0"/>
        <v/>
      </c>
      <c r="E22" s="107"/>
      <c r="F22" s="61" t="str">
        <f t="shared" si="13"/>
        <v/>
      </c>
      <c r="G22" s="107"/>
      <c r="H22" s="34" t="str">
        <f t="shared" si="14"/>
        <v/>
      </c>
      <c r="I22" s="34" t="str">
        <f t="shared" si="1"/>
        <v/>
      </c>
      <c r="J22" s="34" t="str">
        <f t="shared" si="2"/>
        <v/>
      </c>
      <c r="K22" s="34" t="str">
        <f t="shared" si="3"/>
        <v/>
      </c>
      <c r="L22" s="34" t="str">
        <f t="shared" si="4"/>
        <v/>
      </c>
      <c r="M22" s="34" t="str">
        <f t="shared" si="5"/>
        <v/>
      </c>
      <c r="N22" s="67" t="str">
        <f t="shared" si="6"/>
        <v/>
      </c>
      <c r="O22" s="67" t="str">
        <f t="shared" si="7"/>
        <v/>
      </c>
      <c r="P22" s="67" t="str">
        <f>IF(C22&lt;&gt;0,+Tabla13432385[Base Para el Iva]*B$10/100,"")</f>
        <v/>
      </c>
      <c r="Q22" s="34" t="str">
        <f t="shared" si="8"/>
        <v/>
      </c>
      <c r="R22" s="34" t="str">
        <f t="shared" si="15"/>
        <v/>
      </c>
      <c r="S22" s="40" t="str">
        <f t="shared" si="16"/>
        <v/>
      </c>
      <c r="T22" s="41" t="str">
        <f>IF(C22&lt;&gt;"",+(Tabla13432385[[COSTO UNITARIO ]]-E22)/E22*100,"")</f>
        <v/>
      </c>
      <c r="U22" s="48"/>
      <c r="V22" s="40" t="str">
        <f t="shared" si="9"/>
        <v/>
      </c>
      <c r="W22" s="48"/>
      <c r="X22" s="42" t="str">
        <f t="shared" si="10"/>
        <v/>
      </c>
      <c r="Y22" s="41" t="str">
        <f t="shared" si="11"/>
        <v/>
      </c>
      <c r="Z22" s="102" t="str">
        <f>IF(C22&lt;&gt;"",+Tabla13432385[Precio de Venta en Mercado en Dolares]*C22,"")</f>
        <v/>
      </c>
      <c r="AA22" s="103" t="str">
        <f>IF(C22&lt;&gt;"",+Tabla13432385[Proyeccion Ventas]-Tabla13432385[[COSTO TOTAL ]],"")</f>
        <v/>
      </c>
      <c r="AB22" s="105" t="str">
        <f t="shared" si="12"/>
        <v/>
      </c>
      <c r="AC22" s="48"/>
      <c r="AD22" s="105" t="str">
        <f t="shared" si="17"/>
        <v/>
      </c>
    </row>
    <row r="23" spans="1:30" x14ac:dyDescent="0.25">
      <c r="A23" s="62"/>
      <c r="B23" s="63"/>
      <c r="C23" s="45"/>
      <c r="D23" s="61" t="str">
        <f t="shared" si="0"/>
        <v/>
      </c>
      <c r="E23" s="107"/>
      <c r="F23" s="61" t="str">
        <f t="shared" si="13"/>
        <v/>
      </c>
      <c r="G23" s="107"/>
      <c r="H23" s="34" t="str">
        <f t="shared" si="14"/>
        <v/>
      </c>
      <c r="I23" s="34" t="str">
        <f t="shared" si="1"/>
        <v/>
      </c>
      <c r="J23" s="34" t="str">
        <f t="shared" si="2"/>
        <v/>
      </c>
      <c r="K23" s="34" t="str">
        <f t="shared" si="3"/>
        <v/>
      </c>
      <c r="L23" s="34" t="str">
        <f t="shared" si="4"/>
        <v/>
      </c>
      <c r="M23" s="34" t="str">
        <f t="shared" si="5"/>
        <v/>
      </c>
      <c r="N23" s="67" t="str">
        <f t="shared" si="6"/>
        <v/>
      </c>
      <c r="O23" s="67" t="str">
        <f t="shared" si="7"/>
        <v/>
      </c>
      <c r="P23" s="67" t="str">
        <f>IF(C23&lt;&gt;0,+Tabla13432385[Base Para el Iva]*B$10/100,"")</f>
        <v/>
      </c>
      <c r="Q23" s="34" t="str">
        <f t="shared" si="8"/>
        <v/>
      </c>
      <c r="R23" s="34" t="str">
        <f t="shared" si="15"/>
        <v/>
      </c>
      <c r="S23" s="40" t="str">
        <f t="shared" si="16"/>
        <v/>
      </c>
      <c r="T23" s="41" t="str">
        <f>IF(C23&lt;&gt;"",+(Tabla13432385[[COSTO UNITARIO ]]-E23)/E23*100,"")</f>
        <v/>
      </c>
      <c r="U23" s="48"/>
      <c r="V23" s="40" t="str">
        <f t="shared" si="9"/>
        <v/>
      </c>
      <c r="W23" s="48"/>
      <c r="X23" s="42" t="str">
        <f t="shared" si="10"/>
        <v/>
      </c>
      <c r="Y23" s="41" t="str">
        <f t="shared" si="11"/>
        <v/>
      </c>
      <c r="Z23" s="102" t="str">
        <f>IF(C23&lt;&gt;"",+Tabla13432385[Precio de Venta en Mercado en Dolares]*C23,"")</f>
        <v/>
      </c>
      <c r="AA23" s="103" t="str">
        <f>IF(C23&lt;&gt;"",+Tabla13432385[Proyeccion Ventas]-Tabla13432385[[COSTO TOTAL ]],"")</f>
        <v/>
      </c>
      <c r="AB23" s="105" t="str">
        <f t="shared" si="12"/>
        <v/>
      </c>
      <c r="AC23" s="48"/>
      <c r="AD23" s="105" t="str">
        <f t="shared" si="17"/>
        <v/>
      </c>
    </row>
    <row r="24" spans="1:30" x14ac:dyDescent="0.25">
      <c r="A24" s="62"/>
      <c r="B24" s="63"/>
      <c r="C24" s="45"/>
      <c r="D24" s="61" t="str">
        <f t="shared" si="0"/>
        <v/>
      </c>
      <c r="E24" s="107"/>
      <c r="F24" s="61" t="str">
        <f t="shared" si="13"/>
        <v/>
      </c>
      <c r="G24" s="107"/>
      <c r="H24" s="34" t="str">
        <f t="shared" si="14"/>
        <v/>
      </c>
      <c r="I24" s="34" t="str">
        <f t="shared" si="1"/>
        <v/>
      </c>
      <c r="J24" s="34" t="str">
        <f t="shared" si="2"/>
        <v/>
      </c>
      <c r="K24" s="34" t="str">
        <f t="shared" si="3"/>
        <v/>
      </c>
      <c r="L24" s="34" t="str">
        <f t="shared" si="4"/>
        <v/>
      </c>
      <c r="M24" s="34" t="str">
        <f t="shared" si="5"/>
        <v/>
      </c>
      <c r="N24" s="67" t="str">
        <f t="shared" si="6"/>
        <v/>
      </c>
      <c r="O24" s="67" t="str">
        <f t="shared" si="7"/>
        <v/>
      </c>
      <c r="P24" s="67" t="str">
        <f>IF(C24&lt;&gt;0,+Tabla13432385[Base Para el Iva]*B$10/100,"")</f>
        <v/>
      </c>
      <c r="Q24" s="34" t="str">
        <f t="shared" si="8"/>
        <v/>
      </c>
      <c r="R24" s="34" t="str">
        <f t="shared" si="15"/>
        <v/>
      </c>
      <c r="S24" s="40" t="str">
        <f t="shared" si="16"/>
        <v/>
      </c>
      <c r="T24" s="41" t="str">
        <f>IF(C24&lt;&gt;"",+(Tabla13432385[[COSTO UNITARIO ]]-E24)/E24*100,"")</f>
        <v/>
      </c>
      <c r="U24" s="48"/>
      <c r="V24" s="40" t="str">
        <f t="shared" si="9"/>
        <v/>
      </c>
      <c r="W24" s="48"/>
      <c r="X24" s="42" t="str">
        <f t="shared" si="10"/>
        <v/>
      </c>
      <c r="Y24" s="41" t="str">
        <f t="shared" si="11"/>
        <v/>
      </c>
      <c r="Z24" s="102" t="str">
        <f>IF(C24&lt;&gt;"",+Tabla13432385[Precio de Venta en Mercado en Dolares]*C24,"")</f>
        <v/>
      </c>
      <c r="AA24" s="103" t="str">
        <f>IF(C24&lt;&gt;"",+Tabla13432385[Proyeccion Ventas]-Tabla13432385[[COSTO TOTAL ]],"")</f>
        <v/>
      </c>
      <c r="AB24" s="105" t="str">
        <f t="shared" si="12"/>
        <v/>
      </c>
      <c r="AC24" s="48"/>
      <c r="AD24" s="105" t="str">
        <f t="shared" si="17"/>
        <v/>
      </c>
    </row>
    <row r="25" spans="1:30" x14ac:dyDescent="0.25">
      <c r="A25" s="62"/>
      <c r="B25" s="63"/>
      <c r="C25" s="45"/>
      <c r="D25" s="61" t="str">
        <f t="shared" si="0"/>
        <v/>
      </c>
      <c r="E25" s="107"/>
      <c r="F25" s="61" t="str">
        <f t="shared" si="13"/>
        <v/>
      </c>
      <c r="G25" s="107"/>
      <c r="H25" s="34" t="str">
        <f t="shared" si="14"/>
        <v/>
      </c>
      <c r="I25" s="34" t="str">
        <f t="shared" si="1"/>
        <v/>
      </c>
      <c r="J25" s="34" t="str">
        <f t="shared" si="2"/>
        <v/>
      </c>
      <c r="K25" s="34" t="str">
        <f t="shared" si="3"/>
        <v/>
      </c>
      <c r="L25" s="34" t="str">
        <f t="shared" si="4"/>
        <v/>
      </c>
      <c r="M25" s="34" t="str">
        <f t="shared" si="5"/>
        <v/>
      </c>
      <c r="N25" s="67" t="str">
        <f t="shared" si="6"/>
        <v/>
      </c>
      <c r="O25" s="67" t="str">
        <f t="shared" si="7"/>
        <v/>
      </c>
      <c r="P25" s="67" t="str">
        <f>IF(C25&lt;&gt;0,+Tabla13432385[Base Para el Iva]*B$10/100,"")</f>
        <v/>
      </c>
      <c r="Q25" s="34" t="str">
        <f t="shared" si="8"/>
        <v/>
      </c>
      <c r="R25" s="34" t="str">
        <f t="shared" si="15"/>
        <v/>
      </c>
      <c r="S25" s="40" t="str">
        <f t="shared" si="16"/>
        <v/>
      </c>
      <c r="T25" s="41" t="str">
        <f>IF(C25&lt;&gt;"",+(Tabla13432385[[COSTO UNITARIO ]]-E25)/E25*100,"")</f>
        <v/>
      </c>
      <c r="U25" s="48"/>
      <c r="V25" s="40" t="str">
        <f t="shared" si="9"/>
        <v/>
      </c>
      <c r="W25" s="48"/>
      <c r="X25" s="42" t="str">
        <f t="shared" si="10"/>
        <v/>
      </c>
      <c r="Y25" s="41" t="str">
        <f t="shared" si="11"/>
        <v/>
      </c>
      <c r="Z25" s="102" t="str">
        <f>IF(C25&lt;&gt;"",+Tabla13432385[Precio de Venta en Mercado en Dolares]*C25,"")</f>
        <v/>
      </c>
      <c r="AA25" s="103" t="str">
        <f>IF(C25&lt;&gt;"",+Tabla13432385[Proyeccion Ventas]-Tabla13432385[[COSTO TOTAL ]],"")</f>
        <v/>
      </c>
      <c r="AB25" s="105" t="str">
        <f t="shared" si="12"/>
        <v/>
      </c>
      <c r="AC25" s="48"/>
      <c r="AD25" s="105" t="str">
        <f t="shared" si="17"/>
        <v/>
      </c>
    </row>
    <row r="26" spans="1:30" x14ac:dyDescent="0.25">
      <c r="A26" s="62"/>
      <c r="B26" s="63"/>
      <c r="C26" s="45"/>
      <c r="D26" s="61" t="str">
        <f t="shared" si="0"/>
        <v/>
      </c>
      <c r="E26" s="107"/>
      <c r="F26" s="61" t="str">
        <f t="shared" si="13"/>
        <v/>
      </c>
      <c r="G26" s="107"/>
      <c r="H26" s="34" t="str">
        <f t="shared" si="14"/>
        <v/>
      </c>
      <c r="I26" s="34" t="str">
        <f t="shared" si="1"/>
        <v/>
      </c>
      <c r="J26" s="34" t="str">
        <f t="shared" si="2"/>
        <v/>
      </c>
      <c r="K26" s="34" t="str">
        <f t="shared" si="3"/>
        <v/>
      </c>
      <c r="L26" s="34" t="str">
        <f t="shared" si="4"/>
        <v/>
      </c>
      <c r="M26" s="34" t="str">
        <f t="shared" si="5"/>
        <v/>
      </c>
      <c r="N26" s="67" t="str">
        <f t="shared" si="6"/>
        <v/>
      </c>
      <c r="O26" s="67" t="str">
        <f t="shared" si="7"/>
        <v/>
      </c>
      <c r="P26" s="67" t="str">
        <f>IF(C26&lt;&gt;0,+Tabla13432385[Base Para el Iva]*B$10/100,"")</f>
        <v/>
      </c>
      <c r="Q26" s="34" t="str">
        <f t="shared" si="8"/>
        <v/>
      </c>
      <c r="R26" s="34" t="str">
        <f t="shared" si="15"/>
        <v/>
      </c>
      <c r="S26" s="40" t="str">
        <f t="shared" si="16"/>
        <v/>
      </c>
      <c r="T26" s="41" t="str">
        <f>IF(C26&lt;&gt;"",+(Tabla13432385[[COSTO UNITARIO ]]-E26)/E26*100,"")</f>
        <v/>
      </c>
      <c r="U26" s="48"/>
      <c r="V26" s="40" t="str">
        <f t="shared" si="9"/>
        <v/>
      </c>
      <c r="W26" s="48"/>
      <c r="X26" s="42" t="str">
        <f t="shared" si="10"/>
        <v/>
      </c>
      <c r="Y26" s="41" t="str">
        <f t="shared" si="11"/>
        <v/>
      </c>
      <c r="Z26" s="102" t="str">
        <f>IF(C26&lt;&gt;"",+Tabla13432385[Precio de Venta en Mercado en Dolares]*C26,"")</f>
        <v/>
      </c>
      <c r="AA26" s="103" t="str">
        <f>IF(C26&lt;&gt;"",+Tabla13432385[Proyeccion Ventas]-Tabla13432385[[COSTO TOTAL ]],"")</f>
        <v/>
      </c>
      <c r="AB26" s="105" t="str">
        <f t="shared" si="12"/>
        <v/>
      </c>
      <c r="AC26" s="48"/>
      <c r="AD26" s="105" t="str">
        <f t="shared" si="17"/>
        <v/>
      </c>
    </row>
    <row r="27" spans="1:30" x14ac:dyDescent="0.25">
      <c r="A27" s="62"/>
      <c r="B27" s="63"/>
      <c r="C27" s="45"/>
      <c r="D27" s="61" t="str">
        <f t="shared" si="0"/>
        <v/>
      </c>
      <c r="E27" s="107"/>
      <c r="F27" s="61" t="str">
        <f t="shared" si="13"/>
        <v/>
      </c>
      <c r="G27" s="107"/>
      <c r="H27" s="34" t="str">
        <f t="shared" si="14"/>
        <v/>
      </c>
      <c r="I27" s="34" t="str">
        <f t="shared" si="1"/>
        <v/>
      </c>
      <c r="J27" s="34" t="str">
        <f t="shared" si="2"/>
        <v/>
      </c>
      <c r="K27" s="34" t="str">
        <f t="shared" si="3"/>
        <v/>
      </c>
      <c r="L27" s="34" t="str">
        <f t="shared" si="4"/>
        <v/>
      </c>
      <c r="M27" s="34" t="str">
        <f t="shared" si="5"/>
        <v/>
      </c>
      <c r="N27" s="67" t="str">
        <f t="shared" si="6"/>
        <v/>
      </c>
      <c r="O27" s="67" t="str">
        <f t="shared" si="7"/>
        <v/>
      </c>
      <c r="P27" s="67" t="str">
        <f>IF(C27&lt;&gt;0,+Tabla13432385[Base Para el Iva]*B$10/100,"")</f>
        <v/>
      </c>
      <c r="Q27" s="34" t="str">
        <f t="shared" si="8"/>
        <v/>
      </c>
      <c r="R27" s="34" t="str">
        <f t="shared" si="15"/>
        <v/>
      </c>
      <c r="S27" s="40" t="str">
        <f t="shared" si="16"/>
        <v/>
      </c>
      <c r="T27" s="41" t="str">
        <f>IF(C27&lt;&gt;"",+(Tabla13432385[[COSTO UNITARIO ]]-E27)/E27*100,"")</f>
        <v/>
      </c>
      <c r="U27" s="48"/>
      <c r="V27" s="40" t="str">
        <f t="shared" si="9"/>
        <v/>
      </c>
      <c r="W27" s="48"/>
      <c r="X27" s="42" t="str">
        <f t="shared" si="10"/>
        <v/>
      </c>
      <c r="Y27" s="41" t="str">
        <f t="shared" si="11"/>
        <v/>
      </c>
      <c r="Z27" s="102" t="str">
        <f>IF(C27&lt;&gt;"",+Tabla13432385[Precio de Venta en Mercado en Dolares]*C27,"")</f>
        <v/>
      </c>
      <c r="AA27" s="103" t="str">
        <f>IF(C27&lt;&gt;"",+Tabla13432385[Proyeccion Ventas]-Tabla13432385[[COSTO TOTAL ]],"")</f>
        <v/>
      </c>
      <c r="AB27" s="105" t="str">
        <f t="shared" si="12"/>
        <v/>
      </c>
      <c r="AC27" s="48"/>
      <c r="AD27" s="105" t="str">
        <f t="shared" si="17"/>
        <v/>
      </c>
    </row>
    <row r="28" spans="1:30" x14ac:dyDescent="0.25">
      <c r="A28" s="62"/>
      <c r="B28" s="63"/>
      <c r="C28" s="45"/>
      <c r="D28" s="61" t="str">
        <f t="shared" si="0"/>
        <v/>
      </c>
      <c r="E28" s="107"/>
      <c r="F28" s="61" t="str">
        <f t="shared" si="13"/>
        <v/>
      </c>
      <c r="G28" s="107"/>
      <c r="H28" s="34" t="str">
        <f t="shared" si="14"/>
        <v/>
      </c>
      <c r="I28" s="34" t="str">
        <f t="shared" si="1"/>
        <v/>
      </c>
      <c r="J28" s="34" t="str">
        <f t="shared" si="2"/>
        <v/>
      </c>
      <c r="K28" s="34" t="str">
        <f t="shared" si="3"/>
        <v/>
      </c>
      <c r="L28" s="34" t="str">
        <f t="shared" si="4"/>
        <v/>
      </c>
      <c r="M28" s="34" t="str">
        <f t="shared" si="5"/>
        <v/>
      </c>
      <c r="N28" s="67" t="str">
        <f t="shared" si="6"/>
        <v/>
      </c>
      <c r="O28" s="67" t="str">
        <f t="shared" si="7"/>
        <v/>
      </c>
      <c r="P28" s="67" t="str">
        <f>IF(C28&lt;&gt;0,+Tabla13432385[Base Para el Iva]*B$10/100,"")</f>
        <v/>
      </c>
      <c r="Q28" s="34" t="str">
        <f t="shared" si="8"/>
        <v/>
      </c>
      <c r="R28" s="34" t="str">
        <f t="shared" si="15"/>
        <v/>
      </c>
      <c r="S28" s="40" t="str">
        <f t="shared" si="16"/>
        <v/>
      </c>
      <c r="T28" s="41" t="str">
        <f>IF(C28&lt;&gt;"",+(Tabla13432385[[COSTO UNITARIO ]]-E28)/E28*100,"")</f>
        <v/>
      </c>
      <c r="U28" s="48"/>
      <c r="V28" s="40" t="str">
        <f t="shared" si="9"/>
        <v/>
      </c>
      <c r="W28" s="48"/>
      <c r="X28" s="42" t="str">
        <f t="shared" si="10"/>
        <v/>
      </c>
      <c r="Y28" s="41" t="str">
        <f t="shared" si="11"/>
        <v/>
      </c>
      <c r="Z28" s="102" t="str">
        <f>IF(C28&lt;&gt;"",+Tabla13432385[Precio de Venta en Mercado en Dolares]*C28,"")</f>
        <v/>
      </c>
      <c r="AA28" s="103" t="str">
        <f>IF(C28&lt;&gt;"",+Tabla13432385[Proyeccion Ventas]-Tabla13432385[[COSTO TOTAL ]],"")</f>
        <v/>
      </c>
      <c r="AB28" s="105" t="str">
        <f t="shared" si="12"/>
        <v/>
      </c>
      <c r="AC28" s="48"/>
      <c r="AD28" s="105" t="str">
        <f t="shared" si="17"/>
        <v/>
      </c>
    </row>
    <row r="29" spans="1:30" x14ac:dyDescent="0.25">
      <c r="A29" s="62"/>
      <c r="B29" s="63"/>
      <c r="C29" s="45"/>
      <c r="D29" s="61" t="str">
        <f t="shared" si="0"/>
        <v/>
      </c>
      <c r="E29" s="107"/>
      <c r="F29" s="61" t="str">
        <f t="shared" si="13"/>
        <v/>
      </c>
      <c r="G29" s="107"/>
      <c r="H29" s="34" t="str">
        <f t="shared" si="14"/>
        <v/>
      </c>
      <c r="I29" s="34" t="str">
        <f t="shared" si="1"/>
        <v/>
      </c>
      <c r="J29" s="34" t="str">
        <f t="shared" si="2"/>
        <v/>
      </c>
      <c r="K29" s="34" t="str">
        <f t="shared" si="3"/>
        <v/>
      </c>
      <c r="L29" s="34" t="str">
        <f t="shared" si="4"/>
        <v/>
      </c>
      <c r="M29" s="34" t="str">
        <f t="shared" si="5"/>
        <v/>
      </c>
      <c r="N29" s="67" t="str">
        <f t="shared" si="6"/>
        <v/>
      </c>
      <c r="O29" s="67" t="str">
        <f t="shared" si="7"/>
        <v/>
      </c>
      <c r="P29" s="67" t="str">
        <f>IF(C29&lt;&gt;0,+Tabla13432385[Base Para el Iva]*B$10/100,"")</f>
        <v/>
      </c>
      <c r="Q29" s="34" t="str">
        <f t="shared" si="8"/>
        <v/>
      </c>
      <c r="R29" s="34" t="str">
        <f t="shared" si="15"/>
        <v/>
      </c>
      <c r="S29" s="40" t="str">
        <f t="shared" si="16"/>
        <v/>
      </c>
      <c r="T29" s="41" t="str">
        <f>IF(C29&lt;&gt;"",+(Tabla13432385[[COSTO UNITARIO ]]-E29)/E29*100,"")</f>
        <v/>
      </c>
      <c r="U29" s="48"/>
      <c r="V29" s="40" t="str">
        <f t="shared" si="9"/>
        <v/>
      </c>
      <c r="W29" s="48"/>
      <c r="X29" s="42" t="str">
        <f t="shared" si="10"/>
        <v/>
      </c>
      <c r="Y29" s="41" t="str">
        <f t="shared" si="11"/>
        <v/>
      </c>
      <c r="Z29" s="102" t="str">
        <f>IF(C29&lt;&gt;"",+Tabla13432385[Precio de Venta en Mercado en Dolares]*C29,"")</f>
        <v/>
      </c>
      <c r="AA29" s="103" t="str">
        <f>IF(C29&lt;&gt;"",+Tabla13432385[Proyeccion Ventas]-Tabla13432385[[COSTO TOTAL ]],"")</f>
        <v/>
      </c>
      <c r="AB29" s="105" t="str">
        <f t="shared" si="12"/>
        <v/>
      </c>
      <c r="AC29" s="48"/>
      <c r="AD29" s="105" t="str">
        <f t="shared" si="17"/>
        <v/>
      </c>
    </row>
    <row r="30" spans="1:30" x14ac:dyDescent="0.25">
      <c r="A30" s="62"/>
      <c r="B30" s="63"/>
      <c r="C30" s="45"/>
      <c r="D30" s="61" t="str">
        <f t="shared" si="0"/>
        <v/>
      </c>
      <c r="E30" s="107"/>
      <c r="F30" s="61" t="str">
        <f t="shared" si="13"/>
        <v/>
      </c>
      <c r="G30" s="107"/>
      <c r="H30" s="34" t="str">
        <f t="shared" si="14"/>
        <v/>
      </c>
      <c r="I30" s="34" t="str">
        <f t="shared" si="1"/>
        <v/>
      </c>
      <c r="J30" s="34" t="str">
        <f t="shared" si="2"/>
        <v/>
      </c>
      <c r="K30" s="34" t="str">
        <f t="shared" si="3"/>
        <v/>
      </c>
      <c r="L30" s="34" t="str">
        <f t="shared" si="4"/>
        <v/>
      </c>
      <c r="M30" s="34" t="str">
        <f t="shared" si="5"/>
        <v/>
      </c>
      <c r="N30" s="67" t="str">
        <f t="shared" si="6"/>
        <v/>
      </c>
      <c r="O30" s="67" t="str">
        <f t="shared" si="7"/>
        <v/>
      </c>
      <c r="P30" s="67" t="str">
        <f>IF(C30&lt;&gt;0,+Tabla13432385[Base Para el Iva]*B$10/100,"")</f>
        <v/>
      </c>
      <c r="Q30" s="34" t="str">
        <f t="shared" si="8"/>
        <v/>
      </c>
      <c r="R30" s="34" t="str">
        <f t="shared" si="15"/>
        <v/>
      </c>
      <c r="S30" s="40" t="str">
        <f t="shared" si="16"/>
        <v/>
      </c>
      <c r="T30" s="41" t="str">
        <f>IF(C30&lt;&gt;"",+(Tabla13432385[[COSTO UNITARIO ]]-E30)/E30*100,"")</f>
        <v/>
      </c>
      <c r="U30" s="48"/>
      <c r="V30" s="40" t="str">
        <f t="shared" si="9"/>
        <v/>
      </c>
      <c r="W30" s="48"/>
      <c r="X30" s="42" t="str">
        <f t="shared" si="10"/>
        <v/>
      </c>
      <c r="Y30" s="41" t="str">
        <f t="shared" si="11"/>
        <v/>
      </c>
      <c r="Z30" s="102" t="str">
        <f>IF(C30&lt;&gt;"",+Tabla13432385[Precio de Venta en Mercado en Dolares]*C30,"")</f>
        <v/>
      </c>
      <c r="AA30" s="103" t="str">
        <f>IF(C30&lt;&gt;"",+Tabla13432385[Proyeccion Ventas]-Tabla13432385[[COSTO TOTAL ]],"")</f>
        <v/>
      </c>
      <c r="AB30" s="105" t="str">
        <f t="shared" si="12"/>
        <v/>
      </c>
      <c r="AC30" s="48"/>
      <c r="AD30" s="105" t="str">
        <f t="shared" si="17"/>
        <v/>
      </c>
    </row>
    <row r="31" spans="1:30" x14ac:dyDescent="0.25">
      <c r="A31" s="62"/>
      <c r="B31" s="63"/>
      <c r="C31" s="45"/>
      <c r="D31" s="61" t="str">
        <f t="shared" si="0"/>
        <v/>
      </c>
      <c r="E31" s="107"/>
      <c r="F31" s="61" t="str">
        <f t="shared" si="13"/>
        <v/>
      </c>
      <c r="G31" s="107"/>
      <c r="H31" s="34" t="str">
        <f t="shared" si="14"/>
        <v/>
      </c>
      <c r="I31" s="34" t="str">
        <f t="shared" si="1"/>
        <v/>
      </c>
      <c r="J31" s="34" t="str">
        <f t="shared" si="2"/>
        <v/>
      </c>
      <c r="K31" s="34" t="str">
        <f t="shared" si="3"/>
        <v/>
      </c>
      <c r="L31" s="34" t="str">
        <f t="shared" si="4"/>
        <v/>
      </c>
      <c r="M31" s="34" t="str">
        <f t="shared" si="5"/>
        <v/>
      </c>
      <c r="N31" s="67" t="str">
        <f t="shared" si="6"/>
        <v/>
      </c>
      <c r="O31" s="67" t="str">
        <f t="shared" si="7"/>
        <v/>
      </c>
      <c r="P31" s="67" t="str">
        <f>IF(C31&lt;&gt;0,+Tabla13432385[Base Para el Iva]*B$10/100,"")</f>
        <v/>
      </c>
      <c r="Q31" s="34" t="str">
        <f t="shared" si="8"/>
        <v/>
      </c>
      <c r="R31" s="34" t="str">
        <f t="shared" si="15"/>
        <v/>
      </c>
      <c r="S31" s="40" t="str">
        <f t="shared" si="16"/>
        <v/>
      </c>
      <c r="T31" s="41" t="str">
        <f>IF(C31&lt;&gt;"",+(Tabla13432385[[COSTO UNITARIO ]]-E31)/E31*100,"")</f>
        <v/>
      </c>
      <c r="U31" s="48"/>
      <c r="V31" s="40" t="str">
        <f t="shared" si="9"/>
        <v/>
      </c>
      <c r="W31" s="48"/>
      <c r="X31" s="42" t="str">
        <f t="shared" si="10"/>
        <v/>
      </c>
      <c r="Y31" s="41" t="str">
        <f t="shared" si="11"/>
        <v/>
      </c>
      <c r="Z31" s="102" t="str">
        <f>IF(C31&lt;&gt;"",+Tabla13432385[Precio de Venta en Mercado en Dolares]*C31,"")</f>
        <v/>
      </c>
      <c r="AA31" s="103" t="str">
        <f>IF(C31&lt;&gt;"",+Tabla13432385[Proyeccion Ventas]-Tabla13432385[[COSTO TOTAL ]],"")</f>
        <v/>
      </c>
      <c r="AB31" s="105" t="str">
        <f t="shared" si="12"/>
        <v/>
      </c>
      <c r="AC31" s="48"/>
      <c r="AD31" s="105" t="str">
        <f t="shared" si="17"/>
        <v/>
      </c>
    </row>
    <row r="32" spans="1:30" x14ac:dyDescent="0.25">
      <c r="A32" s="64"/>
      <c r="B32" s="63"/>
      <c r="C32" s="45"/>
      <c r="D32" s="61" t="str">
        <f t="shared" si="0"/>
        <v/>
      </c>
      <c r="E32" s="107"/>
      <c r="F32" s="61" t="str">
        <f t="shared" si="13"/>
        <v/>
      </c>
      <c r="G32" s="107"/>
      <c r="H32" s="34" t="str">
        <f t="shared" si="14"/>
        <v/>
      </c>
      <c r="I32" s="34" t="str">
        <f t="shared" si="1"/>
        <v/>
      </c>
      <c r="J32" s="34" t="str">
        <f t="shared" si="2"/>
        <v/>
      </c>
      <c r="K32" s="34" t="str">
        <f t="shared" si="3"/>
        <v/>
      </c>
      <c r="L32" s="34" t="str">
        <f t="shared" si="4"/>
        <v/>
      </c>
      <c r="M32" s="34" t="str">
        <f t="shared" si="5"/>
        <v/>
      </c>
      <c r="N32" s="67" t="str">
        <f t="shared" si="6"/>
        <v/>
      </c>
      <c r="O32" s="67" t="str">
        <f t="shared" si="7"/>
        <v/>
      </c>
      <c r="P32" s="67" t="str">
        <f>IF(C32&lt;&gt;0,+Tabla13432385[Base Para el Iva]*B$10/100,"")</f>
        <v/>
      </c>
      <c r="Q32" s="34" t="str">
        <f t="shared" si="8"/>
        <v/>
      </c>
      <c r="R32" s="34" t="str">
        <f t="shared" si="15"/>
        <v/>
      </c>
      <c r="S32" s="40" t="str">
        <f t="shared" si="16"/>
        <v/>
      </c>
      <c r="T32" s="41" t="str">
        <f>IF(C32&lt;&gt;"",+(Tabla13432385[[COSTO UNITARIO ]]-E32)/E32*100,"")</f>
        <v/>
      </c>
      <c r="U32" s="48"/>
      <c r="V32" s="40" t="str">
        <f t="shared" si="9"/>
        <v/>
      </c>
      <c r="W32" s="48"/>
      <c r="X32" s="42" t="str">
        <f t="shared" si="10"/>
        <v/>
      </c>
      <c r="Y32" s="41" t="str">
        <f t="shared" si="11"/>
        <v/>
      </c>
      <c r="Z32" s="102" t="str">
        <f>IF(C32&lt;&gt;"",+Tabla13432385[Precio de Venta en Mercado en Dolares]*C32,"")</f>
        <v/>
      </c>
      <c r="AA32" s="103" t="str">
        <f>IF(C32&lt;&gt;"",+Tabla13432385[Proyeccion Ventas]-Tabla13432385[[COSTO TOTAL ]],"")</f>
        <v/>
      </c>
      <c r="AB32" s="105" t="str">
        <f t="shared" si="12"/>
        <v/>
      </c>
      <c r="AC32" s="48"/>
      <c r="AD32" s="105" t="str">
        <f t="shared" si="17"/>
        <v/>
      </c>
    </row>
    <row r="33" spans="1:30" x14ac:dyDescent="0.25">
      <c r="A33" s="64"/>
      <c r="B33" s="63"/>
      <c r="C33" s="45"/>
      <c r="D33" s="61" t="str">
        <f t="shared" si="0"/>
        <v/>
      </c>
      <c r="E33" s="107"/>
      <c r="F33" s="61" t="str">
        <f t="shared" si="13"/>
        <v/>
      </c>
      <c r="G33" s="107"/>
      <c r="H33" s="34" t="str">
        <f t="shared" si="14"/>
        <v/>
      </c>
      <c r="I33" s="34" t="str">
        <f t="shared" si="1"/>
        <v/>
      </c>
      <c r="J33" s="34" t="str">
        <f t="shared" si="2"/>
        <v/>
      </c>
      <c r="K33" s="34" t="str">
        <f t="shared" si="3"/>
        <v/>
      </c>
      <c r="L33" s="34" t="str">
        <f t="shared" si="4"/>
        <v/>
      </c>
      <c r="M33" s="34" t="str">
        <f t="shared" si="5"/>
        <v/>
      </c>
      <c r="N33" s="67" t="str">
        <f t="shared" si="6"/>
        <v/>
      </c>
      <c r="O33" s="67" t="str">
        <f t="shared" si="7"/>
        <v/>
      </c>
      <c r="P33" s="67" t="str">
        <f>IF(C33&lt;&gt;0,+Tabla13432385[Base Para el Iva]*B$10/100,"")</f>
        <v/>
      </c>
      <c r="Q33" s="34" t="str">
        <f t="shared" si="8"/>
        <v/>
      </c>
      <c r="R33" s="34" t="str">
        <f t="shared" si="15"/>
        <v/>
      </c>
      <c r="S33" s="40" t="str">
        <f t="shared" si="16"/>
        <v/>
      </c>
      <c r="T33" s="41" t="str">
        <f>IF(C33&lt;&gt;"",+(Tabla13432385[[COSTO UNITARIO ]]-E33)/E33*100,"")</f>
        <v/>
      </c>
      <c r="U33" s="48"/>
      <c r="V33" s="40" t="str">
        <f t="shared" si="9"/>
        <v/>
      </c>
      <c r="W33" s="48"/>
      <c r="X33" s="42" t="str">
        <f t="shared" si="10"/>
        <v/>
      </c>
      <c r="Y33" s="41" t="str">
        <f t="shared" si="11"/>
        <v/>
      </c>
      <c r="Z33" s="102" t="str">
        <f>IF(C33&lt;&gt;"",+Tabla13432385[Precio de Venta en Mercado en Dolares]*C33,"")</f>
        <v/>
      </c>
      <c r="AA33" s="103" t="str">
        <f>IF(C33&lt;&gt;"",+Tabla13432385[Proyeccion Ventas]-Tabla13432385[[COSTO TOTAL ]],"")</f>
        <v/>
      </c>
      <c r="AB33" s="105" t="str">
        <f t="shared" si="12"/>
        <v/>
      </c>
      <c r="AC33" s="48"/>
      <c r="AD33" s="105" t="str">
        <f t="shared" si="17"/>
        <v/>
      </c>
    </row>
    <row r="34" spans="1:30" x14ac:dyDescent="0.25">
      <c r="A34" s="62"/>
      <c r="B34" s="63"/>
      <c r="C34" s="45"/>
      <c r="D34" s="61" t="str">
        <f t="shared" si="0"/>
        <v/>
      </c>
      <c r="E34" s="107"/>
      <c r="F34" s="61" t="str">
        <f t="shared" si="13"/>
        <v/>
      </c>
      <c r="G34" s="107"/>
      <c r="H34" s="34" t="str">
        <f t="shared" si="14"/>
        <v/>
      </c>
      <c r="I34" s="34" t="str">
        <f t="shared" si="1"/>
        <v/>
      </c>
      <c r="J34" s="34" t="str">
        <f t="shared" si="2"/>
        <v/>
      </c>
      <c r="K34" s="34" t="str">
        <f t="shared" si="3"/>
        <v/>
      </c>
      <c r="L34" s="34" t="str">
        <f t="shared" si="4"/>
        <v/>
      </c>
      <c r="M34" s="34" t="str">
        <f t="shared" si="5"/>
        <v/>
      </c>
      <c r="N34" s="67" t="str">
        <f t="shared" si="6"/>
        <v/>
      </c>
      <c r="O34" s="67" t="str">
        <f t="shared" si="7"/>
        <v/>
      </c>
      <c r="P34" s="67" t="str">
        <f>IF(C34&lt;&gt;0,+Tabla13432385[Base Para el Iva]*B$10/100,"")</f>
        <v/>
      </c>
      <c r="Q34" s="34" t="str">
        <f t="shared" si="8"/>
        <v/>
      </c>
      <c r="R34" s="34" t="str">
        <f t="shared" si="15"/>
        <v/>
      </c>
      <c r="S34" s="40" t="str">
        <f t="shared" si="16"/>
        <v/>
      </c>
      <c r="T34" s="41" t="str">
        <f>IF(C34&lt;&gt;"",+(Tabla13432385[[COSTO UNITARIO ]]-E34)/E34*100,"")</f>
        <v/>
      </c>
      <c r="U34" s="48"/>
      <c r="V34" s="40" t="str">
        <f t="shared" si="9"/>
        <v/>
      </c>
      <c r="W34" s="48"/>
      <c r="X34" s="42" t="str">
        <f t="shared" si="10"/>
        <v/>
      </c>
      <c r="Y34" s="41" t="str">
        <f t="shared" si="11"/>
        <v/>
      </c>
      <c r="Z34" s="102" t="str">
        <f>IF(C34&lt;&gt;"",+Tabla13432385[Precio de Venta en Mercado en Dolares]*C34,"")</f>
        <v/>
      </c>
      <c r="AA34" s="103" t="str">
        <f>IF(C34&lt;&gt;"",+Tabla13432385[Proyeccion Ventas]-Tabla13432385[[COSTO TOTAL ]],"")</f>
        <v/>
      </c>
      <c r="AB34" s="105" t="str">
        <f t="shared" si="12"/>
        <v/>
      </c>
      <c r="AC34" s="48"/>
      <c r="AD34" s="105" t="str">
        <f t="shared" si="17"/>
        <v/>
      </c>
    </row>
    <row r="35" spans="1:30" x14ac:dyDescent="0.25">
      <c r="A35" s="64"/>
      <c r="B35" s="63"/>
      <c r="C35" s="45"/>
      <c r="D35" s="61" t="str">
        <f t="shared" si="0"/>
        <v/>
      </c>
      <c r="E35" s="107"/>
      <c r="F35" s="61" t="str">
        <f t="shared" si="13"/>
        <v/>
      </c>
      <c r="G35" s="107"/>
      <c r="H35" s="34" t="str">
        <f t="shared" si="14"/>
        <v/>
      </c>
      <c r="I35" s="34" t="str">
        <f t="shared" si="1"/>
        <v/>
      </c>
      <c r="J35" s="34" t="str">
        <f t="shared" si="2"/>
        <v/>
      </c>
      <c r="K35" s="34" t="str">
        <f t="shared" si="3"/>
        <v/>
      </c>
      <c r="L35" s="34" t="str">
        <f t="shared" si="4"/>
        <v/>
      </c>
      <c r="M35" s="34" t="str">
        <f t="shared" si="5"/>
        <v/>
      </c>
      <c r="N35" s="67" t="str">
        <f t="shared" si="6"/>
        <v/>
      </c>
      <c r="O35" s="67" t="str">
        <f t="shared" si="7"/>
        <v/>
      </c>
      <c r="P35" s="67" t="str">
        <f>IF(C35&lt;&gt;0,+Tabla13432385[Base Para el Iva]*B$10/100,"")</f>
        <v/>
      </c>
      <c r="Q35" s="34" t="str">
        <f t="shared" si="8"/>
        <v/>
      </c>
      <c r="R35" s="34" t="str">
        <f t="shared" si="15"/>
        <v/>
      </c>
      <c r="S35" s="40" t="str">
        <f t="shared" si="16"/>
        <v/>
      </c>
      <c r="T35" s="41" t="str">
        <f>IF(C35&lt;&gt;"",+(Tabla13432385[[COSTO UNITARIO ]]-E35)/E35*100,"")</f>
        <v/>
      </c>
      <c r="U35" s="48"/>
      <c r="V35" s="40" t="str">
        <f t="shared" si="9"/>
        <v/>
      </c>
      <c r="W35" s="48"/>
      <c r="X35" s="42" t="str">
        <f t="shared" si="10"/>
        <v/>
      </c>
      <c r="Y35" s="41" t="str">
        <f t="shared" si="11"/>
        <v/>
      </c>
      <c r="Z35" s="102" t="str">
        <f>IF(C35&lt;&gt;"",+Tabla13432385[Precio de Venta en Mercado en Dolares]*C35,"")</f>
        <v/>
      </c>
      <c r="AA35" s="103" t="str">
        <f>IF(C35&lt;&gt;"",+Tabla13432385[Proyeccion Ventas]-Tabla13432385[[COSTO TOTAL ]],"")</f>
        <v/>
      </c>
      <c r="AB35" s="105" t="str">
        <f t="shared" si="12"/>
        <v/>
      </c>
      <c r="AC35" s="48"/>
      <c r="AD35" s="105" t="str">
        <f t="shared" si="17"/>
        <v/>
      </c>
    </row>
    <row r="36" spans="1:30" x14ac:dyDescent="0.25">
      <c r="A36" s="64"/>
      <c r="B36" s="63"/>
      <c r="C36" s="45"/>
      <c r="D36" s="61" t="str">
        <f t="shared" si="0"/>
        <v/>
      </c>
      <c r="E36" s="107"/>
      <c r="F36" s="61" t="str">
        <f t="shared" si="13"/>
        <v/>
      </c>
      <c r="G36" s="107"/>
      <c r="H36" s="34" t="str">
        <f t="shared" si="14"/>
        <v/>
      </c>
      <c r="I36" s="34" t="str">
        <f t="shared" si="1"/>
        <v/>
      </c>
      <c r="J36" s="34" t="str">
        <f t="shared" si="2"/>
        <v/>
      </c>
      <c r="K36" s="34" t="str">
        <f t="shared" si="3"/>
        <v/>
      </c>
      <c r="L36" s="34" t="str">
        <f t="shared" si="4"/>
        <v/>
      </c>
      <c r="M36" s="34" t="str">
        <f t="shared" si="5"/>
        <v/>
      </c>
      <c r="N36" s="67" t="str">
        <f t="shared" si="6"/>
        <v/>
      </c>
      <c r="O36" s="67" t="str">
        <f t="shared" si="7"/>
        <v/>
      </c>
      <c r="P36" s="67" t="str">
        <f>IF(C36&lt;&gt;0,+Tabla13432385[Base Para el Iva]*B$10/100,"")</f>
        <v/>
      </c>
      <c r="Q36" s="34" t="str">
        <f t="shared" si="8"/>
        <v/>
      </c>
      <c r="R36" s="34" t="str">
        <f t="shared" si="15"/>
        <v/>
      </c>
      <c r="S36" s="40" t="str">
        <f t="shared" si="16"/>
        <v/>
      </c>
      <c r="T36" s="41" t="str">
        <f>IF(C36&lt;&gt;"",+(Tabla13432385[[COSTO UNITARIO ]]-E36)/E36*100,"")</f>
        <v/>
      </c>
      <c r="U36" s="48"/>
      <c r="V36" s="40" t="str">
        <f t="shared" si="9"/>
        <v/>
      </c>
      <c r="W36" s="48"/>
      <c r="X36" s="42" t="str">
        <f t="shared" si="10"/>
        <v/>
      </c>
      <c r="Y36" s="41" t="str">
        <f t="shared" si="11"/>
        <v/>
      </c>
      <c r="Z36" s="102" t="str">
        <f>IF(C36&lt;&gt;"",+Tabla13432385[Precio de Venta en Mercado en Dolares]*C36,"")</f>
        <v/>
      </c>
      <c r="AA36" s="103" t="str">
        <f>IF(C36&lt;&gt;"",+Tabla13432385[Proyeccion Ventas]-Tabla13432385[[COSTO TOTAL ]],"")</f>
        <v/>
      </c>
      <c r="AB36" s="105" t="str">
        <f t="shared" si="12"/>
        <v/>
      </c>
      <c r="AC36" s="48"/>
      <c r="AD36" s="105" t="str">
        <f t="shared" si="17"/>
        <v/>
      </c>
    </row>
    <row r="37" spans="1:30" x14ac:dyDescent="0.25">
      <c r="A37" s="64"/>
      <c r="B37" s="63"/>
      <c r="C37" s="45"/>
      <c r="D37" s="61" t="str">
        <f t="shared" si="0"/>
        <v/>
      </c>
      <c r="E37" s="107"/>
      <c r="F37" s="61" t="str">
        <f t="shared" si="13"/>
        <v/>
      </c>
      <c r="G37" s="107"/>
      <c r="H37" s="34" t="str">
        <f t="shared" si="14"/>
        <v/>
      </c>
      <c r="I37" s="34" t="str">
        <f t="shared" si="1"/>
        <v/>
      </c>
      <c r="J37" s="34" t="str">
        <f t="shared" si="2"/>
        <v/>
      </c>
      <c r="K37" s="34" t="str">
        <f t="shared" si="3"/>
        <v/>
      </c>
      <c r="L37" s="34" t="str">
        <f t="shared" si="4"/>
        <v/>
      </c>
      <c r="M37" s="34" t="str">
        <f t="shared" si="5"/>
        <v/>
      </c>
      <c r="N37" s="67" t="str">
        <f t="shared" si="6"/>
        <v/>
      </c>
      <c r="O37" s="67" t="str">
        <f t="shared" si="7"/>
        <v/>
      </c>
      <c r="P37" s="67" t="str">
        <f>IF(C37&lt;&gt;0,+Tabla13432385[Base Para el Iva]*B$10/100,"")</f>
        <v/>
      </c>
      <c r="Q37" s="34" t="str">
        <f t="shared" si="8"/>
        <v/>
      </c>
      <c r="R37" s="34" t="str">
        <f t="shared" si="15"/>
        <v/>
      </c>
      <c r="S37" s="40" t="str">
        <f t="shared" si="16"/>
        <v/>
      </c>
      <c r="T37" s="41" t="str">
        <f>IF(C37&lt;&gt;"",+(Tabla13432385[[COSTO UNITARIO ]]-E37)/E37*100,"")</f>
        <v/>
      </c>
      <c r="U37" s="48"/>
      <c r="V37" s="40" t="str">
        <f t="shared" si="9"/>
        <v/>
      </c>
      <c r="W37" s="48"/>
      <c r="X37" s="42" t="str">
        <f t="shared" si="10"/>
        <v/>
      </c>
      <c r="Y37" s="41" t="str">
        <f t="shared" si="11"/>
        <v/>
      </c>
      <c r="Z37" s="102" t="str">
        <f>IF(C37&lt;&gt;"",+Tabla13432385[Precio de Venta en Mercado en Dolares]*C37,"")</f>
        <v/>
      </c>
      <c r="AA37" s="103" t="str">
        <f>IF(C37&lt;&gt;"",+Tabla13432385[Proyeccion Ventas]-Tabla13432385[[COSTO TOTAL ]],"")</f>
        <v/>
      </c>
      <c r="AB37" s="105" t="str">
        <f t="shared" si="12"/>
        <v/>
      </c>
      <c r="AC37" s="48"/>
      <c r="AD37" s="105" t="str">
        <f t="shared" si="17"/>
        <v/>
      </c>
    </row>
    <row r="38" spans="1:30" x14ac:dyDescent="0.25">
      <c r="A38" s="62"/>
      <c r="B38" s="63"/>
      <c r="C38" s="45"/>
      <c r="D38" s="61" t="str">
        <f t="shared" si="0"/>
        <v/>
      </c>
      <c r="E38" s="107"/>
      <c r="F38" s="61" t="str">
        <f t="shared" si="13"/>
        <v/>
      </c>
      <c r="G38" s="107"/>
      <c r="H38" s="34" t="str">
        <f t="shared" si="14"/>
        <v/>
      </c>
      <c r="I38" s="34" t="str">
        <f t="shared" si="1"/>
        <v/>
      </c>
      <c r="J38" s="34" t="str">
        <f t="shared" si="2"/>
        <v/>
      </c>
      <c r="K38" s="34" t="str">
        <f t="shared" si="3"/>
        <v/>
      </c>
      <c r="L38" s="34" t="str">
        <f t="shared" si="4"/>
        <v/>
      </c>
      <c r="M38" s="34" t="str">
        <f t="shared" si="5"/>
        <v/>
      </c>
      <c r="N38" s="67" t="str">
        <f t="shared" si="6"/>
        <v/>
      </c>
      <c r="O38" s="67" t="str">
        <f t="shared" si="7"/>
        <v/>
      </c>
      <c r="P38" s="67" t="str">
        <f>IF(C38&lt;&gt;0,+Tabla13432385[Base Para el Iva]*B$10/100,"")</f>
        <v/>
      </c>
      <c r="Q38" s="34" t="str">
        <f t="shared" si="8"/>
        <v/>
      </c>
      <c r="R38" s="34" t="str">
        <f t="shared" si="15"/>
        <v/>
      </c>
      <c r="S38" s="40" t="str">
        <f t="shared" si="16"/>
        <v/>
      </c>
      <c r="T38" s="41" t="str">
        <f>IF(C38&lt;&gt;"",+(Tabla13432385[[COSTO UNITARIO ]]-E38)/E38*100,"")</f>
        <v/>
      </c>
      <c r="U38" s="48"/>
      <c r="V38" s="40" t="str">
        <f t="shared" si="9"/>
        <v/>
      </c>
      <c r="W38" s="48"/>
      <c r="X38" s="42" t="str">
        <f t="shared" si="10"/>
        <v/>
      </c>
      <c r="Y38" s="41" t="str">
        <f t="shared" si="11"/>
        <v/>
      </c>
      <c r="Z38" s="102" t="str">
        <f>IF(C38&lt;&gt;"",+Tabla13432385[Precio de Venta en Mercado en Dolares]*C38,"")</f>
        <v/>
      </c>
      <c r="AA38" s="103" t="str">
        <f>IF(C38&lt;&gt;"",+Tabla13432385[Proyeccion Ventas]-Tabla13432385[[COSTO TOTAL ]],"")</f>
        <v/>
      </c>
      <c r="AB38" s="105" t="str">
        <f t="shared" si="12"/>
        <v/>
      </c>
      <c r="AC38" s="48"/>
      <c r="AD38" s="105" t="str">
        <f t="shared" si="17"/>
        <v/>
      </c>
    </row>
    <row r="39" spans="1:30" x14ac:dyDescent="0.25">
      <c r="A39" s="62"/>
      <c r="B39" s="63"/>
      <c r="C39" s="45"/>
      <c r="D39" s="61" t="str">
        <f t="shared" si="0"/>
        <v/>
      </c>
      <c r="E39" s="107"/>
      <c r="F39" s="61" t="str">
        <f t="shared" si="13"/>
        <v/>
      </c>
      <c r="G39" s="107"/>
      <c r="H39" s="34" t="str">
        <f t="shared" si="14"/>
        <v/>
      </c>
      <c r="I39" s="34" t="str">
        <f t="shared" si="1"/>
        <v/>
      </c>
      <c r="J39" s="34" t="str">
        <f t="shared" si="2"/>
        <v/>
      </c>
      <c r="K39" s="34" t="str">
        <f t="shared" si="3"/>
        <v/>
      </c>
      <c r="L39" s="34" t="str">
        <f t="shared" si="4"/>
        <v/>
      </c>
      <c r="M39" s="34" t="str">
        <f t="shared" si="5"/>
        <v/>
      </c>
      <c r="N39" s="67" t="str">
        <f t="shared" si="6"/>
        <v/>
      </c>
      <c r="O39" s="67" t="str">
        <f t="shared" si="7"/>
        <v/>
      </c>
      <c r="P39" s="67" t="str">
        <f>IF(C39&lt;&gt;0,+Tabla13432385[Base Para el Iva]*B$10/100,"")</f>
        <v/>
      </c>
      <c r="Q39" s="34" t="str">
        <f t="shared" si="8"/>
        <v/>
      </c>
      <c r="R39" s="34" t="str">
        <f t="shared" si="15"/>
        <v/>
      </c>
      <c r="S39" s="40" t="str">
        <f t="shared" si="16"/>
        <v/>
      </c>
      <c r="T39" s="41" t="str">
        <f>IF(C39&lt;&gt;"",+(Tabla13432385[[COSTO UNITARIO ]]-E39)/E39*100,"")</f>
        <v/>
      </c>
      <c r="U39" s="48"/>
      <c r="V39" s="40" t="str">
        <f t="shared" si="9"/>
        <v/>
      </c>
      <c r="W39" s="48"/>
      <c r="X39" s="42" t="str">
        <f t="shared" si="10"/>
        <v/>
      </c>
      <c r="Y39" s="41" t="str">
        <f t="shared" si="11"/>
        <v/>
      </c>
      <c r="Z39" s="102" t="str">
        <f>IF(C39&lt;&gt;"",+Tabla13432385[Precio de Venta en Mercado en Dolares]*C39,"")</f>
        <v/>
      </c>
      <c r="AA39" s="103" t="str">
        <f>IF(C39&lt;&gt;"",+Tabla13432385[Proyeccion Ventas]-Tabla13432385[[COSTO TOTAL ]],"")</f>
        <v/>
      </c>
      <c r="AB39" s="105" t="str">
        <f t="shared" si="12"/>
        <v/>
      </c>
      <c r="AC39" s="48"/>
      <c r="AD39" s="105" t="str">
        <f t="shared" si="17"/>
        <v/>
      </c>
    </row>
    <row r="40" spans="1:30" x14ac:dyDescent="0.25">
      <c r="A40" s="62"/>
      <c r="B40" s="63"/>
      <c r="C40" s="45"/>
      <c r="D40" s="61" t="str">
        <f t="shared" si="0"/>
        <v/>
      </c>
      <c r="E40" s="107"/>
      <c r="F40" s="61" t="str">
        <f t="shared" si="13"/>
        <v/>
      </c>
      <c r="G40" s="107"/>
      <c r="H40" s="34" t="str">
        <f t="shared" si="14"/>
        <v/>
      </c>
      <c r="I40" s="34" t="str">
        <f t="shared" si="1"/>
        <v/>
      </c>
      <c r="J40" s="34" t="str">
        <f t="shared" si="2"/>
        <v/>
      </c>
      <c r="K40" s="34" t="str">
        <f t="shared" si="3"/>
        <v/>
      </c>
      <c r="L40" s="34" t="str">
        <f t="shared" si="4"/>
        <v/>
      </c>
      <c r="M40" s="34" t="str">
        <f t="shared" si="5"/>
        <v/>
      </c>
      <c r="N40" s="67" t="str">
        <f t="shared" si="6"/>
        <v/>
      </c>
      <c r="O40" s="67" t="str">
        <f t="shared" si="7"/>
        <v/>
      </c>
      <c r="P40" s="67" t="str">
        <f>IF(C40&lt;&gt;0,+Tabla13432385[Base Para el Iva]*B$10/100,"")</f>
        <v/>
      </c>
      <c r="Q40" s="34" t="str">
        <f t="shared" si="8"/>
        <v/>
      </c>
      <c r="R40" s="34" t="str">
        <f t="shared" si="15"/>
        <v/>
      </c>
      <c r="S40" s="40" t="str">
        <f t="shared" si="16"/>
        <v/>
      </c>
      <c r="T40" s="41" t="str">
        <f>IF(C40&lt;&gt;"",+(Tabla13432385[[COSTO UNITARIO ]]-E40)/E40*100,"")</f>
        <v/>
      </c>
      <c r="U40" s="48"/>
      <c r="V40" s="40" t="str">
        <f t="shared" si="9"/>
        <v/>
      </c>
      <c r="W40" s="48"/>
      <c r="X40" s="42" t="str">
        <f t="shared" si="10"/>
        <v/>
      </c>
      <c r="Y40" s="41" t="str">
        <f t="shared" si="11"/>
        <v/>
      </c>
      <c r="Z40" s="102" t="str">
        <f>IF(C40&lt;&gt;"",+Tabla13432385[Precio de Venta en Mercado en Dolares]*C40,"")</f>
        <v/>
      </c>
      <c r="AA40" s="103" t="str">
        <f>IF(C40&lt;&gt;"",+Tabla13432385[Proyeccion Ventas]-Tabla13432385[[COSTO TOTAL ]],"")</f>
        <v/>
      </c>
      <c r="AB40" s="105" t="str">
        <f t="shared" si="12"/>
        <v/>
      </c>
      <c r="AC40" s="48"/>
      <c r="AD40" s="105" t="str">
        <f t="shared" si="17"/>
        <v/>
      </c>
    </row>
    <row r="41" spans="1:30" x14ac:dyDescent="0.25">
      <c r="A41" s="62"/>
      <c r="B41" s="63"/>
      <c r="C41" s="45"/>
      <c r="D41" s="61" t="str">
        <f t="shared" si="0"/>
        <v/>
      </c>
      <c r="E41" s="107"/>
      <c r="F41" s="61" t="str">
        <f t="shared" si="13"/>
        <v/>
      </c>
      <c r="G41" s="107"/>
      <c r="H41" s="34" t="str">
        <f t="shared" si="14"/>
        <v/>
      </c>
      <c r="I41" s="34" t="str">
        <f t="shared" si="1"/>
        <v/>
      </c>
      <c r="J41" s="34" t="str">
        <f t="shared" si="2"/>
        <v/>
      </c>
      <c r="K41" s="34" t="str">
        <f t="shared" si="3"/>
        <v/>
      </c>
      <c r="L41" s="34" t="str">
        <f t="shared" si="4"/>
        <v/>
      </c>
      <c r="M41" s="34" t="str">
        <f t="shared" si="5"/>
        <v/>
      </c>
      <c r="N41" s="67" t="str">
        <f t="shared" si="6"/>
        <v/>
      </c>
      <c r="O41" s="67" t="str">
        <f t="shared" si="7"/>
        <v/>
      </c>
      <c r="P41" s="67" t="str">
        <f>IF(C41&lt;&gt;0,+Tabla13432385[Base Para el Iva]*B$10/100,"")</f>
        <v/>
      </c>
      <c r="Q41" s="34" t="str">
        <f t="shared" si="8"/>
        <v/>
      </c>
      <c r="R41" s="34" t="str">
        <f t="shared" si="15"/>
        <v/>
      </c>
      <c r="S41" s="40" t="str">
        <f t="shared" si="16"/>
        <v/>
      </c>
      <c r="T41" s="41" t="str">
        <f>IF(C41&lt;&gt;"",+(Tabla13432385[[COSTO UNITARIO ]]-E41)/E41*100,"")</f>
        <v/>
      </c>
      <c r="U41" s="48"/>
      <c r="V41" s="40" t="str">
        <f t="shared" si="9"/>
        <v/>
      </c>
      <c r="W41" s="48"/>
      <c r="X41" s="42" t="str">
        <f t="shared" si="10"/>
        <v/>
      </c>
      <c r="Y41" s="41" t="str">
        <f t="shared" si="11"/>
        <v/>
      </c>
      <c r="Z41" s="102" t="str">
        <f>IF(C41&lt;&gt;"",+Tabla13432385[Precio de Venta en Mercado en Dolares]*C41,"")</f>
        <v/>
      </c>
      <c r="AA41" s="103" t="str">
        <f>IF(C41&lt;&gt;"",+Tabla13432385[Proyeccion Ventas]-Tabla13432385[[COSTO TOTAL ]],"")</f>
        <v/>
      </c>
      <c r="AB41" s="105" t="str">
        <f t="shared" si="12"/>
        <v/>
      </c>
      <c r="AC41" s="48"/>
      <c r="AD41" s="105" t="str">
        <f t="shared" si="17"/>
        <v/>
      </c>
    </row>
    <row r="42" spans="1:30" x14ac:dyDescent="0.25">
      <c r="A42" s="62"/>
      <c r="B42" s="63"/>
      <c r="C42" s="45"/>
      <c r="D42" s="61" t="str">
        <f t="shared" si="0"/>
        <v/>
      </c>
      <c r="E42" s="107"/>
      <c r="F42" s="61" t="str">
        <f t="shared" si="13"/>
        <v/>
      </c>
      <c r="G42" s="107"/>
      <c r="H42" s="34" t="str">
        <f t="shared" si="14"/>
        <v/>
      </c>
      <c r="I42" s="34" t="str">
        <f t="shared" si="1"/>
        <v/>
      </c>
      <c r="J42" s="34" t="str">
        <f t="shared" si="2"/>
        <v/>
      </c>
      <c r="K42" s="34" t="str">
        <f t="shared" si="3"/>
        <v/>
      </c>
      <c r="L42" s="34" t="str">
        <f t="shared" si="4"/>
        <v/>
      </c>
      <c r="M42" s="34" t="str">
        <f t="shared" si="5"/>
        <v/>
      </c>
      <c r="N42" s="67" t="str">
        <f t="shared" si="6"/>
        <v/>
      </c>
      <c r="O42" s="67" t="str">
        <f t="shared" si="7"/>
        <v/>
      </c>
      <c r="P42" s="67" t="str">
        <f>IF(C42&lt;&gt;0,+Tabla13432385[Base Para el Iva]*B$10/100,"")</f>
        <v/>
      </c>
      <c r="Q42" s="34" t="str">
        <f t="shared" si="8"/>
        <v/>
      </c>
      <c r="R42" s="34" t="str">
        <f t="shared" si="15"/>
        <v/>
      </c>
      <c r="S42" s="40" t="str">
        <f t="shared" si="16"/>
        <v/>
      </c>
      <c r="T42" s="41" t="str">
        <f>IF(C42&lt;&gt;"",+(Tabla13432385[[COSTO UNITARIO ]]-E42)/E42*100,"")</f>
        <v/>
      </c>
      <c r="U42" s="48"/>
      <c r="V42" s="40" t="str">
        <f t="shared" si="9"/>
        <v/>
      </c>
      <c r="W42" s="48"/>
      <c r="X42" s="42" t="str">
        <f t="shared" si="10"/>
        <v/>
      </c>
      <c r="Y42" s="41" t="str">
        <f t="shared" si="11"/>
        <v/>
      </c>
      <c r="Z42" s="102" t="str">
        <f>IF(C42&lt;&gt;"",+Tabla13432385[Precio de Venta en Mercado en Dolares]*C42,"")</f>
        <v/>
      </c>
      <c r="AA42" s="103" t="str">
        <f>IF(C42&lt;&gt;"",+Tabla13432385[Proyeccion Ventas]-Tabla13432385[[COSTO TOTAL ]],"")</f>
        <v/>
      </c>
      <c r="AB42" s="105" t="str">
        <f t="shared" si="12"/>
        <v/>
      </c>
      <c r="AC42" s="48"/>
      <c r="AD42" s="105" t="str">
        <f t="shared" si="17"/>
        <v/>
      </c>
    </row>
    <row r="43" spans="1:30" x14ac:dyDescent="0.25">
      <c r="A43" s="62"/>
      <c r="B43" s="63"/>
      <c r="C43" s="45"/>
      <c r="D43" s="61" t="str">
        <f t="shared" si="0"/>
        <v/>
      </c>
      <c r="E43" s="107"/>
      <c r="F43" s="61" t="str">
        <f t="shared" si="13"/>
        <v/>
      </c>
      <c r="G43" s="107"/>
      <c r="H43" s="34" t="str">
        <f t="shared" si="14"/>
        <v/>
      </c>
      <c r="I43" s="34" t="str">
        <f t="shared" si="1"/>
        <v/>
      </c>
      <c r="J43" s="34" t="str">
        <f t="shared" si="2"/>
        <v/>
      </c>
      <c r="K43" s="34" t="str">
        <f t="shared" si="3"/>
        <v/>
      </c>
      <c r="L43" s="34" t="str">
        <f t="shared" si="4"/>
        <v/>
      </c>
      <c r="M43" s="34" t="str">
        <f t="shared" si="5"/>
        <v/>
      </c>
      <c r="N43" s="67" t="str">
        <f t="shared" si="6"/>
        <v/>
      </c>
      <c r="O43" s="67" t="str">
        <f t="shared" si="7"/>
        <v/>
      </c>
      <c r="P43" s="67" t="str">
        <f>IF(C43&lt;&gt;0,+Tabla13432385[Base Para el Iva]*B$10/100,"")</f>
        <v/>
      </c>
      <c r="Q43" s="34" t="str">
        <f t="shared" si="8"/>
        <v/>
      </c>
      <c r="R43" s="34" t="str">
        <f t="shared" si="15"/>
        <v/>
      </c>
      <c r="S43" s="40" t="str">
        <f t="shared" si="16"/>
        <v/>
      </c>
      <c r="T43" s="41" t="str">
        <f>IF(C43&lt;&gt;"",+(Tabla13432385[[COSTO UNITARIO ]]-E43)/E43*100,"")</f>
        <v/>
      </c>
      <c r="U43" s="48"/>
      <c r="V43" s="40" t="str">
        <f t="shared" si="9"/>
        <v/>
      </c>
      <c r="W43" s="48"/>
      <c r="X43" s="42" t="str">
        <f t="shared" si="10"/>
        <v/>
      </c>
      <c r="Y43" s="41" t="str">
        <f t="shared" si="11"/>
        <v/>
      </c>
      <c r="Z43" s="102" t="str">
        <f>IF(C43&lt;&gt;"",+Tabla13432385[Precio de Venta en Mercado en Dolares]*C43,"")</f>
        <v/>
      </c>
      <c r="AA43" s="103" t="str">
        <f>IF(C43&lt;&gt;"",+Tabla13432385[Proyeccion Ventas]-Tabla13432385[[COSTO TOTAL ]],"")</f>
        <v/>
      </c>
      <c r="AB43" s="105" t="str">
        <f t="shared" si="12"/>
        <v/>
      </c>
      <c r="AC43" s="48"/>
      <c r="AD43" s="105" t="str">
        <f t="shared" si="17"/>
        <v/>
      </c>
    </row>
    <row r="44" spans="1:30" x14ac:dyDescent="0.25">
      <c r="A44" s="62"/>
      <c r="B44" s="63"/>
      <c r="C44" s="45"/>
      <c r="D44" s="61" t="str">
        <f t="shared" si="0"/>
        <v/>
      </c>
      <c r="E44" s="107"/>
      <c r="F44" s="61" t="str">
        <f t="shared" si="13"/>
        <v/>
      </c>
      <c r="G44" s="107"/>
      <c r="H44" s="34" t="str">
        <f t="shared" si="14"/>
        <v/>
      </c>
      <c r="I44" s="34" t="str">
        <f t="shared" si="1"/>
        <v/>
      </c>
      <c r="J44" s="34" t="str">
        <f t="shared" si="2"/>
        <v/>
      </c>
      <c r="K44" s="34" t="str">
        <f t="shared" si="3"/>
        <v/>
      </c>
      <c r="L44" s="34" t="str">
        <f t="shared" si="4"/>
        <v/>
      </c>
      <c r="M44" s="34" t="str">
        <f t="shared" si="5"/>
        <v/>
      </c>
      <c r="N44" s="67" t="str">
        <f t="shared" si="6"/>
        <v/>
      </c>
      <c r="O44" s="67" t="str">
        <f t="shared" si="7"/>
        <v/>
      </c>
      <c r="P44" s="67" t="str">
        <f>IF(C44&lt;&gt;0,+Tabla13432385[Base Para el Iva]*B$10/100,"")</f>
        <v/>
      </c>
      <c r="Q44" s="34" t="str">
        <f t="shared" si="8"/>
        <v/>
      </c>
      <c r="R44" s="34" t="str">
        <f t="shared" si="15"/>
        <v/>
      </c>
      <c r="S44" s="40" t="str">
        <f t="shared" si="16"/>
        <v/>
      </c>
      <c r="T44" s="41" t="str">
        <f>IF(C44&lt;&gt;"",+(Tabla13432385[[COSTO UNITARIO ]]-E44)/E44*100,"")</f>
        <v/>
      </c>
      <c r="U44" s="48"/>
      <c r="V44" s="40" t="str">
        <f t="shared" si="9"/>
        <v/>
      </c>
      <c r="W44" s="48"/>
      <c r="X44" s="42" t="str">
        <f t="shared" si="10"/>
        <v/>
      </c>
      <c r="Y44" s="41" t="str">
        <f t="shared" si="11"/>
        <v/>
      </c>
      <c r="Z44" s="102" t="str">
        <f>IF(C44&lt;&gt;"",+Tabla13432385[Precio de Venta en Mercado en Dolares]*C44,"")</f>
        <v/>
      </c>
      <c r="AA44" s="103" t="str">
        <f>IF(C44&lt;&gt;"",+Tabla13432385[Proyeccion Ventas]-Tabla13432385[[COSTO TOTAL ]],"")</f>
        <v/>
      </c>
      <c r="AB44" s="105" t="str">
        <f t="shared" si="12"/>
        <v/>
      </c>
      <c r="AC44" s="48"/>
      <c r="AD44" s="105" t="str">
        <f t="shared" si="17"/>
        <v/>
      </c>
    </row>
    <row r="45" spans="1:30" x14ac:dyDescent="0.25">
      <c r="A45" s="62"/>
      <c r="B45" s="63"/>
      <c r="C45" s="45"/>
      <c r="D45" s="61" t="str">
        <f t="shared" si="0"/>
        <v/>
      </c>
      <c r="E45" s="107"/>
      <c r="F45" s="61" t="str">
        <f t="shared" si="13"/>
        <v/>
      </c>
      <c r="G45" s="107"/>
      <c r="H45" s="34" t="str">
        <f t="shared" si="14"/>
        <v/>
      </c>
      <c r="I45" s="34" t="str">
        <f t="shared" si="1"/>
        <v/>
      </c>
      <c r="J45" s="34" t="str">
        <f t="shared" si="2"/>
        <v/>
      </c>
      <c r="K45" s="34" t="str">
        <f t="shared" si="3"/>
        <v/>
      </c>
      <c r="L45" s="34" t="str">
        <f t="shared" si="4"/>
        <v/>
      </c>
      <c r="M45" s="34" t="str">
        <f t="shared" si="5"/>
        <v/>
      </c>
      <c r="N45" s="67" t="str">
        <f t="shared" si="6"/>
        <v/>
      </c>
      <c r="O45" s="67" t="str">
        <f t="shared" si="7"/>
        <v/>
      </c>
      <c r="P45" s="67" t="str">
        <f>IF(C45&lt;&gt;0,+Tabla13432385[Base Para el Iva]*B$10/100,"")</f>
        <v/>
      </c>
      <c r="Q45" s="34" t="str">
        <f t="shared" si="8"/>
        <v/>
      </c>
      <c r="R45" s="34" t="str">
        <f t="shared" si="15"/>
        <v/>
      </c>
      <c r="S45" s="40" t="str">
        <f t="shared" si="16"/>
        <v/>
      </c>
      <c r="T45" s="41" t="str">
        <f>IF(C45&lt;&gt;"",+(Tabla13432385[[COSTO UNITARIO ]]-E45)/E45*100,"")</f>
        <v/>
      </c>
      <c r="U45" s="48"/>
      <c r="V45" s="40" t="str">
        <f t="shared" si="9"/>
        <v/>
      </c>
      <c r="W45" s="48"/>
      <c r="X45" s="42" t="str">
        <f t="shared" si="10"/>
        <v/>
      </c>
      <c r="Y45" s="41" t="str">
        <f t="shared" si="11"/>
        <v/>
      </c>
      <c r="Z45" s="102" t="str">
        <f>IF(C45&lt;&gt;"",+Tabla13432385[Precio de Venta en Mercado en Dolares]*C45,"")</f>
        <v/>
      </c>
      <c r="AA45" s="103" t="str">
        <f>IF(C45&lt;&gt;"",+Tabla13432385[Proyeccion Ventas]-Tabla13432385[[COSTO TOTAL ]],"")</f>
        <v/>
      </c>
      <c r="AB45" s="105" t="str">
        <f t="shared" si="12"/>
        <v/>
      </c>
      <c r="AC45" s="48"/>
      <c r="AD45" s="105" t="str">
        <f t="shared" si="17"/>
        <v/>
      </c>
    </row>
    <row r="46" spans="1:30" x14ac:dyDescent="0.25">
      <c r="A46" s="62"/>
      <c r="B46" s="63"/>
      <c r="C46" s="45"/>
      <c r="D46" s="61" t="str">
        <f t="shared" si="0"/>
        <v/>
      </c>
      <c r="E46" s="107"/>
      <c r="F46" s="61" t="str">
        <f t="shared" si="13"/>
        <v/>
      </c>
      <c r="G46" s="107"/>
      <c r="H46" s="34" t="str">
        <f t="shared" si="14"/>
        <v/>
      </c>
      <c r="I46" s="34" t="str">
        <f t="shared" si="1"/>
        <v/>
      </c>
      <c r="J46" s="34" t="str">
        <f t="shared" si="2"/>
        <v/>
      </c>
      <c r="K46" s="34" t="str">
        <f t="shared" si="3"/>
        <v/>
      </c>
      <c r="L46" s="34" t="str">
        <f t="shared" si="4"/>
        <v/>
      </c>
      <c r="M46" s="34" t="str">
        <f t="shared" si="5"/>
        <v/>
      </c>
      <c r="N46" s="67" t="str">
        <f t="shared" si="6"/>
        <v/>
      </c>
      <c r="O46" s="67" t="str">
        <f t="shared" si="7"/>
        <v/>
      </c>
      <c r="P46" s="67" t="str">
        <f>IF(C46&lt;&gt;0,+Tabla13432385[Base Para el Iva]*B$10/100,"")</f>
        <v/>
      </c>
      <c r="Q46" s="34" t="str">
        <f t="shared" si="8"/>
        <v/>
      </c>
      <c r="R46" s="34" t="str">
        <f t="shared" si="15"/>
        <v/>
      </c>
      <c r="S46" s="40" t="str">
        <f t="shared" si="16"/>
        <v/>
      </c>
      <c r="T46" s="41" t="str">
        <f>IF(C46&lt;&gt;"",+(Tabla13432385[[COSTO UNITARIO ]]-E46)/E46*100,"")</f>
        <v/>
      </c>
      <c r="U46" s="48"/>
      <c r="V46" s="40" t="str">
        <f t="shared" si="9"/>
        <v/>
      </c>
      <c r="W46" s="48"/>
      <c r="X46" s="42" t="str">
        <f t="shared" si="10"/>
        <v/>
      </c>
      <c r="Y46" s="41" t="str">
        <f t="shared" si="11"/>
        <v/>
      </c>
      <c r="Z46" s="102" t="str">
        <f>IF(C46&lt;&gt;"",+Tabla13432385[Precio de Venta en Mercado en Dolares]*C46,"")</f>
        <v/>
      </c>
      <c r="AA46" s="103" t="str">
        <f>IF(C46&lt;&gt;"",+Tabla13432385[Proyeccion Ventas]-Tabla13432385[[COSTO TOTAL ]],"")</f>
        <v/>
      </c>
      <c r="AB46" s="105" t="str">
        <f t="shared" si="12"/>
        <v/>
      </c>
      <c r="AC46" s="48"/>
      <c r="AD46" s="105" t="str">
        <f t="shared" si="17"/>
        <v/>
      </c>
    </row>
    <row r="47" spans="1:30" x14ac:dyDescent="0.25">
      <c r="A47" s="62"/>
      <c r="B47" s="63"/>
      <c r="C47" s="45"/>
      <c r="D47" s="61" t="str">
        <f t="shared" si="0"/>
        <v/>
      </c>
      <c r="E47" s="107"/>
      <c r="F47" s="61" t="str">
        <f t="shared" si="13"/>
        <v/>
      </c>
      <c r="G47" s="107"/>
      <c r="H47" s="34" t="str">
        <f t="shared" si="14"/>
        <v/>
      </c>
      <c r="I47" s="34" t="str">
        <f t="shared" si="1"/>
        <v/>
      </c>
      <c r="J47" s="34" t="str">
        <f t="shared" si="2"/>
        <v/>
      </c>
      <c r="K47" s="34" t="str">
        <f t="shared" si="3"/>
        <v/>
      </c>
      <c r="L47" s="34" t="str">
        <f t="shared" si="4"/>
        <v/>
      </c>
      <c r="M47" s="34" t="str">
        <f t="shared" si="5"/>
        <v/>
      </c>
      <c r="N47" s="67" t="str">
        <f t="shared" si="6"/>
        <v/>
      </c>
      <c r="O47" s="67" t="str">
        <f t="shared" si="7"/>
        <v/>
      </c>
      <c r="P47" s="67" t="str">
        <f>IF(C47&lt;&gt;0,+Tabla13432385[Base Para el Iva]*B$10/100,"")</f>
        <v/>
      </c>
      <c r="Q47" s="34" t="str">
        <f t="shared" si="8"/>
        <v/>
      </c>
      <c r="R47" s="34" t="str">
        <f t="shared" si="15"/>
        <v/>
      </c>
      <c r="S47" s="40" t="str">
        <f t="shared" si="16"/>
        <v/>
      </c>
      <c r="T47" s="41" t="str">
        <f>IF(C47&lt;&gt;"",+(Tabla13432385[[COSTO UNITARIO ]]-E47)/E47*100,"")</f>
        <v/>
      </c>
      <c r="U47" s="48"/>
      <c r="V47" s="40" t="str">
        <f t="shared" si="9"/>
        <v/>
      </c>
      <c r="W47" s="48"/>
      <c r="X47" s="42" t="str">
        <f t="shared" si="10"/>
        <v/>
      </c>
      <c r="Y47" s="41" t="str">
        <f t="shared" si="11"/>
        <v/>
      </c>
      <c r="Z47" s="102" t="str">
        <f>IF(C47&lt;&gt;"",+Tabla13432385[Precio de Venta en Mercado en Dolares]*C47,"")</f>
        <v/>
      </c>
      <c r="AA47" s="103" t="str">
        <f>IF(C47&lt;&gt;"",+Tabla13432385[Proyeccion Ventas]-Tabla13432385[[COSTO TOTAL ]],"")</f>
        <v/>
      </c>
      <c r="AB47" s="105" t="str">
        <f t="shared" si="12"/>
        <v/>
      </c>
      <c r="AC47" s="48"/>
      <c r="AD47" s="105" t="str">
        <f t="shared" si="17"/>
        <v/>
      </c>
    </row>
    <row r="48" spans="1:30" x14ac:dyDescent="0.25">
      <c r="A48" s="62"/>
      <c r="B48" s="63"/>
      <c r="C48" s="45"/>
      <c r="D48" s="61" t="str">
        <f t="shared" si="0"/>
        <v/>
      </c>
      <c r="E48" s="107"/>
      <c r="F48" s="61" t="str">
        <f t="shared" si="13"/>
        <v/>
      </c>
      <c r="G48" s="107"/>
      <c r="H48" s="34" t="str">
        <f t="shared" si="14"/>
        <v/>
      </c>
      <c r="I48" s="34" t="str">
        <f t="shared" si="1"/>
        <v/>
      </c>
      <c r="J48" s="34" t="str">
        <f t="shared" si="2"/>
        <v/>
      </c>
      <c r="K48" s="34" t="str">
        <f t="shared" si="3"/>
        <v/>
      </c>
      <c r="L48" s="34" t="str">
        <f t="shared" si="4"/>
        <v/>
      </c>
      <c r="M48" s="34" t="str">
        <f t="shared" si="5"/>
        <v/>
      </c>
      <c r="N48" s="67" t="str">
        <f t="shared" si="6"/>
        <v/>
      </c>
      <c r="O48" s="67" t="str">
        <f t="shared" si="7"/>
        <v/>
      </c>
      <c r="P48" s="67" t="str">
        <f>IF(C48&lt;&gt;0,+Tabla13432385[Base Para el Iva]*B$10/100,"")</f>
        <v/>
      </c>
      <c r="Q48" s="34" t="str">
        <f t="shared" si="8"/>
        <v/>
      </c>
      <c r="R48" s="34" t="str">
        <f t="shared" si="15"/>
        <v/>
      </c>
      <c r="S48" s="40" t="str">
        <f t="shared" si="16"/>
        <v/>
      </c>
      <c r="T48" s="41" t="str">
        <f>IF(C48&lt;&gt;"",+(Tabla13432385[[COSTO UNITARIO ]]-E48)/E48*100,"")</f>
        <v/>
      </c>
      <c r="U48" s="48"/>
      <c r="V48" s="40" t="str">
        <f t="shared" si="9"/>
        <v/>
      </c>
      <c r="W48" s="48"/>
      <c r="X48" s="42" t="str">
        <f t="shared" si="10"/>
        <v/>
      </c>
      <c r="Y48" s="41" t="str">
        <f t="shared" si="11"/>
        <v/>
      </c>
      <c r="Z48" s="102" t="str">
        <f>IF(C48&lt;&gt;"",+Tabla13432385[Precio de Venta en Mercado en Dolares]*C48,"")</f>
        <v/>
      </c>
      <c r="AA48" s="103" t="str">
        <f>IF(C48&lt;&gt;"",+Tabla13432385[Proyeccion Ventas]-Tabla13432385[[COSTO TOTAL ]],"")</f>
        <v/>
      </c>
      <c r="AB48" s="105" t="str">
        <f t="shared" si="12"/>
        <v/>
      </c>
      <c r="AC48" s="48"/>
      <c r="AD48" s="105" t="str">
        <f t="shared" si="17"/>
        <v/>
      </c>
    </row>
    <row r="49" spans="1:30" x14ac:dyDescent="0.25">
      <c r="A49" s="62"/>
      <c r="B49" s="63"/>
      <c r="C49" s="45"/>
      <c r="D49" s="61" t="str">
        <f t="shared" si="0"/>
        <v/>
      </c>
      <c r="E49" s="107"/>
      <c r="F49" s="61" t="str">
        <f t="shared" si="13"/>
        <v/>
      </c>
      <c r="G49" s="107"/>
      <c r="H49" s="34" t="str">
        <f t="shared" si="14"/>
        <v/>
      </c>
      <c r="I49" s="34" t="str">
        <f t="shared" si="1"/>
        <v/>
      </c>
      <c r="J49" s="34" t="str">
        <f t="shared" si="2"/>
        <v/>
      </c>
      <c r="K49" s="34" t="str">
        <f t="shared" si="3"/>
        <v/>
      </c>
      <c r="L49" s="34" t="str">
        <f t="shared" si="4"/>
        <v/>
      </c>
      <c r="M49" s="34" t="str">
        <f t="shared" si="5"/>
        <v/>
      </c>
      <c r="N49" s="67" t="str">
        <f t="shared" si="6"/>
        <v/>
      </c>
      <c r="O49" s="67" t="str">
        <f t="shared" si="7"/>
        <v/>
      </c>
      <c r="P49" s="67" t="str">
        <f>IF(C49&lt;&gt;0,+Tabla13432385[Base Para el Iva]*B$10/100,"")</f>
        <v/>
      </c>
      <c r="Q49" s="34" t="str">
        <f t="shared" si="8"/>
        <v/>
      </c>
      <c r="R49" s="34" t="str">
        <f t="shared" si="15"/>
        <v/>
      </c>
      <c r="S49" s="40" t="str">
        <f t="shared" si="16"/>
        <v/>
      </c>
      <c r="T49" s="41" t="str">
        <f>IF(C49&lt;&gt;"",+(Tabla13432385[[COSTO UNITARIO ]]-E49)/E49*100,"")</f>
        <v/>
      </c>
      <c r="U49" s="48"/>
      <c r="V49" s="40" t="str">
        <f t="shared" si="9"/>
        <v/>
      </c>
      <c r="W49" s="48"/>
      <c r="X49" s="42" t="str">
        <f t="shared" si="10"/>
        <v/>
      </c>
      <c r="Y49" s="41" t="str">
        <f t="shared" si="11"/>
        <v/>
      </c>
      <c r="Z49" s="102" t="str">
        <f>IF(C49&lt;&gt;"",+Tabla13432385[Precio de Venta en Mercado en Dolares]*C49,"")</f>
        <v/>
      </c>
      <c r="AA49" s="103" t="str">
        <f>IF(C49&lt;&gt;"",+Tabla13432385[Proyeccion Ventas]-Tabla13432385[[COSTO TOTAL ]],"")</f>
        <v/>
      </c>
      <c r="AB49" s="105" t="str">
        <f t="shared" si="12"/>
        <v/>
      </c>
      <c r="AC49" s="48"/>
      <c r="AD49" s="105" t="str">
        <f t="shared" si="17"/>
        <v/>
      </c>
    </row>
    <row r="50" spans="1:30" x14ac:dyDescent="0.25">
      <c r="A50" s="62"/>
      <c r="B50" s="63"/>
      <c r="C50" s="45"/>
      <c r="D50" s="61" t="str">
        <f t="shared" si="0"/>
        <v/>
      </c>
      <c r="E50" s="107"/>
      <c r="F50" s="61" t="str">
        <f t="shared" si="13"/>
        <v/>
      </c>
      <c r="G50" s="107"/>
      <c r="H50" s="34" t="str">
        <f t="shared" si="14"/>
        <v/>
      </c>
      <c r="I50" s="34" t="str">
        <f t="shared" si="1"/>
        <v/>
      </c>
      <c r="J50" s="34" t="str">
        <f t="shared" si="2"/>
        <v/>
      </c>
      <c r="K50" s="34" t="str">
        <f t="shared" si="3"/>
        <v/>
      </c>
      <c r="L50" s="34" t="str">
        <f t="shared" si="4"/>
        <v/>
      </c>
      <c r="M50" s="34" t="str">
        <f t="shared" si="5"/>
        <v/>
      </c>
      <c r="N50" s="67" t="str">
        <f t="shared" si="6"/>
        <v/>
      </c>
      <c r="O50" s="67" t="str">
        <f t="shared" si="7"/>
        <v/>
      </c>
      <c r="P50" s="67" t="str">
        <f>IF(C50&lt;&gt;0,+Tabla13432385[Base Para el Iva]*B$10/100,"")</f>
        <v/>
      </c>
      <c r="Q50" s="34" t="str">
        <f t="shared" si="8"/>
        <v/>
      </c>
      <c r="R50" s="34" t="str">
        <f t="shared" si="15"/>
        <v/>
      </c>
      <c r="S50" s="40" t="str">
        <f t="shared" si="16"/>
        <v/>
      </c>
      <c r="T50" s="41" t="str">
        <f>IF(C50&lt;&gt;"",+(Tabla13432385[[COSTO UNITARIO ]]-E50)/E50*100,"")</f>
        <v/>
      </c>
      <c r="U50" s="48"/>
      <c r="V50" s="40" t="str">
        <f t="shared" si="9"/>
        <v/>
      </c>
      <c r="W50" s="48"/>
      <c r="X50" s="42" t="str">
        <f t="shared" si="10"/>
        <v/>
      </c>
      <c r="Y50" s="41" t="str">
        <f t="shared" si="11"/>
        <v/>
      </c>
      <c r="Z50" s="102" t="str">
        <f>IF(C50&lt;&gt;"",+Tabla13432385[Precio de Venta en Mercado en Dolares]*C50,"")</f>
        <v/>
      </c>
      <c r="AA50" s="103" t="str">
        <f>IF(C50&lt;&gt;"",+Tabla13432385[Proyeccion Ventas]-Tabla13432385[[COSTO TOTAL ]],"")</f>
        <v/>
      </c>
      <c r="AB50" s="105" t="str">
        <f t="shared" si="12"/>
        <v/>
      </c>
      <c r="AC50" s="48"/>
      <c r="AD50" s="105" t="str">
        <f t="shared" si="17"/>
        <v/>
      </c>
    </row>
    <row r="51" spans="1:30" x14ac:dyDescent="0.25">
      <c r="A51" s="62"/>
      <c r="B51" s="63"/>
      <c r="C51" s="45"/>
      <c r="D51" s="61" t="str">
        <f t="shared" si="0"/>
        <v/>
      </c>
      <c r="E51" s="107"/>
      <c r="F51" s="61" t="str">
        <f t="shared" si="13"/>
        <v/>
      </c>
      <c r="G51" s="107"/>
      <c r="H51" s="34" t="str">
        <f t="shared" si="14"/>
        <v/>
      </c>
      <c r="I51" s="34" t="str">
        <f t="shared" si="1"/>
        <v/>
      </c>
      <c r="J51" s="34" t="str">
        <f t="shared" si="2"/>
        <v/>
      </c>
      <c r="K51" s="34" t="str">
        <f t="shared" si="3"/>
        <v/>
      </c>
      <c r="L51" s="34" t="str">
        <f t="shared" si="4"/>
        <v/>
      </c>
      <c r="M51" s="34" t="str">
        <f t="shared" si="5"/>
        <v/>
      </c>
      <c r="N51" s="67" t="str">
        <f t="shared" si="6"/>
        <v/>
      </c>
      <c r="O51" s="67" t="str">
        <f t="shared" si="7"/>
        <v/>
      </c>
      <c r="P51" s="67" t="str">
        <f>IF(C51&lt;&gt;0,+Tabla13432385[Base Para el Iva]*B$10/100,"")</f>
        <v/>
      </c>
      <c r="Q51" s="34" t="str">
        <f t="shared" si="8"/>
        <v/>
      </c>
      <c r="R51" s="34" t="str">
        <f t="shared" si="15"/>
        <v/>
      </c>
      <c r="S51" s="40" t="str">
        <f t="shared" si="16"/>
        <v/>
      </c>
      <c r="T51" s="41" t="str">
        <f>IF(C51&lt;&gt;"",+(Tabla13432385[[COSTO UNITARIO ]]-E51)/E51*100,"")</f>
        <v/>
      </c>
      <c r="U51" s="48"/>
      <c r="V51" s="40" t="str">
        <f t="shared" si="9"/>
        <v/>
      </c>
      <c r="W51" s="48"/>
      <c r="X51" s="42" t="str">
        <f t="shared" si="10"/>
        <v/>
      </c>
      <c r="Y51" s="41" t="str">
        <f t="shared" si="11"/>
        <v/>
      </c>
      <c r="Z51" s="102" t="str">
        <f>IF(C51&lt;&gt;"",+Tabla13432385[Precio de Venta en Mercado en Dolares]*C51,"")</f>
        <v/>
      </c>
      <c r="AA51" s="103" t="str">
        <f>IF(C51&lt;&gt;"",+Tabla13432385[Proyeccion Ventas]-Tabla13432385[[COSTO TOTAL ]],"")</f>
        <v/>
      </c>
      <c r="AB51" s="105" t="str">
        <f t="shared" si="12"/>
        <v/>
      </c>
      <c r="AC51" s="48"/>
      <c r="AD51" s="105" t="str">
        <f t="shared" si="17"/>
        <v/>
      </c>
    </row>
    <row r="52" spans="1:30" s="117" customFormat="1" ht="15.75" customHeight="1" x14ac:dyDescent="0.3">
      <c r="A52" s="111"/>
      <c r="B52" s="112" t="s">
        <v>46</v>
      </c>
      <c r="C52" s="113"/>
      <c r="D52" s="114">
        <f>SUM(D20:D51)</f>
        <v>0</v>
      </c>
      <c r="E52" s="114">
        <f>SUM(E20:E51)</f>
        <v>0</v>
      </c>
      <c r="F52" s="114">
        <f>SUM(F20:F51)</f>
        <v>0</v>
      </c>
      <c r="G52" s="114"/>
      <c r="H52" s="115">
        <f>SUM(H20:H51)</f>
        <v>0</v>
      </c>
      <c r="I52" s="115">
        <f t="shared" ref="I52" si="18">SUM(I20:I51)</f>
        <v>0</v>
      </c>
      <c r="J52" s="115">
        <f>+B9</f>
        <v>0</v>
      </c>
      <c r="K52" s="115">
        <f>+I7</f>
        <v>0</v>
      </c>
      <c r="L52" s="115">
        <f>SUM(L20:L51)</f>
        <v>0</v>
      </c>
      <c r="M52" s="115">
        <f t="shared" ref="M52:R52" si="19">SUBTOTAL(109,M20:M51)</f>
        <v>0</v>
      </c>
      <c r="N52" s="115">
        <f t="shared" si="19"/>
        <v>0</v>
      </c>
      <c r="O52" s="115">
        <f t="shared" si="19"/>
        <v>0</v>
      </c>
      <c r="P52" s="115">
        <f t="shared" si="19"/>
        <v>0</v>
      </c>
      <c r="Q52" s="115">
        <f t="shared" si="19"/>
        <v>0</v>
      </c>
      <c r="R52" s="115">
        <f t="shared" si="19"/>
        <v>0</v>
      </c>
      <c r="S52" s="115">
        <f>SUM(Tabla13432385[[#This Row],[Fodinfa]:[COSTO TOTAL ]])</f>
        <v>0</v>
      </c>
      <c r="T52" s="115">
        <f>SUBTOTAL(109,T20:T51)</f>
        <v>0</v>
      </c>
      <c r="U52" s="115"/>
      <c r="V52" s="115">
        <f>SUBTOTAL(109,V20:V51)</f>
        <v>0</v>
      </c>
      <c r="W52" s="115"/>
      <c r="X52" s="115">
        <f>SUBTOTAL(109,X20:X51)</f>
        <v>0</v>
      </c>
      <c r="Y52" s="115">
        <f>SUBTOTAL(109,Y20:Y51)</f>
        <v>0</v>
      </c>
      <c r="Z52" s="122" t="str">
        <f>IF(C52&lt;&gt;"",+Tabla13432385[Precio de Venta en Mercado en Dolares]*C52,"")</f>
        <v/>
      </c>
      <c r="AA52" s="115" t="str">
        <f>IF(C52&lt;&gt;"",+Tabla13432385[Proyeccion Ventas]-Tabla13432385[[COSTO TOTAL ]],"")</f>
        <v/>
      </c>
      <c r="AB52" s="116">
        <f>SUM(AB20:AB51)</f>
        <v>0</v>
      </c>
      <c r="AC52" s="116">
        <f t="shared" ref="AC52" si="20">SUM(AC20:AC51)</f>
        <v>0</v>
      </c>
      <c r="AD52" s="116">
        <f>SUM(AB52:AC52)</f>
        <v>0</v>
      </c>
    </row>
    <row r="56" spans="1:30" x14ac:dyDescent="0.25">
      <c r="A56" s="110" t="s">
        <v>140</v>
      </c>
    </row>
    <row r="57" spans="1:30" x14ac:dyDescent="0.25">
      <c r="A57" t="s">
        <v>141</v>
      </c>
    </row>
    <row r="58" spans="1:30" x14ac:dyDescent="0.25">
      <c r="A58" t="s">
        <v>142</v>
      </c>
    </row>
    <row r="59" spans="1:30" x14ac:dyDescent="0.25">
      <c r="A59" t="s">
        <v>143</v>
      </c>
    </row>
  </sheetData>
  <sheetProtection algorithmName="SHA-512" hashValue="QBaWq8xvaqnPpcjdHw4FyRnpHZghrIaFzwxtM9iPF4So2XnGroKFQHpNlvBai3mBePmwwttB4omdxdAXU5H2iw==" saltValue="J0BjcphzQ5as3r2js9qGzw==" spinCount="100000" sheet="1" selectLockedCells="1"/>
  <mergeCells count="2">
    <mergeCell ref="A3:B3"/>
    <mergeCell ref="H3:I3"/>
  </mergeCells>
  <phoneticPr fontId="26" type="noConversion"/>
  <printOptions horizontalCentered="1"/>
  <pageMargins left="0.7" right="0.7" top="0.75" bottom="0.75" header="0.3" footer="0.3"/>
  <pageSetup paperSize="9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4" r:id="rId4" name="Button 170">
              <controlPr defaultSize="0" print="0" autoFill="0" autoPict="0" macro="[0]!CopiarMatrizANuevoLibroProtegido">
                <anchor moveWithCells="1" sizeWithCells="1">
                  <from>
                    <xdr:col>9</xdr:col>
                    <xdr:colOff>28575</xdr:colOff>
                    <xdr:row>0</xdr:row>
                    <xdr:rowOff>47625</xdr:rowOff>
                  </from>
                  <to>
                    <xdr:col>9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Button 171">
              <controlPr defaultSize="0" print="0" autoFill="0" autoPict="0" macro="[0]!DuplicarMatrizComoNuevaHoja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Button 172">
              <controlPr defaultSize="0" print="0" autoFill="0" autoPict="0" macro="[0]!EliminarHojaImportacion">
                <anchor moveWithCells="1" sizeWithCells="1">
                  <from>
                    <xdr:col>11</xdr:col>
                    <xdr:colOff>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Button 173">
              <controlPr defaultSize="0" print="0" autoFill="0" autoPict="0" macro="[0]!ResumenDeImportaciones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13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8" name="Button 184">
              <controlPr defaultSize="0" print="0" autoFill="0" autoPict="0" macro="[0]!ImprimirImportacionA4Horizontal">
                <anchor moveWithCells="1" sizeWithCells="1">
                  <from>
                    <xdr:col>13</xdr:col>
                    <xdr:colOff>114300</xdr:colOff>
                    <xdr:row>0</xdr:row>
                    <xdr:rowOff>66675</xdr:rowOff>
                  </from>
                  <to>
                    <xdr:col>15</xdr:col>
                    <xdr:colOff>200025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X38"/>
  <sheetViews>
    <sheetView showGridLines="0" showRowColHeaders="0" topLeftCell="L14" zoomScale="84" zoomScaleNormal="84" workbookViewId="0">
      <selection activeCell="P20" sqref="P20"/>
    </sheetView>
  </sheetViews>
  <sheetFormatPr baseColWidth="10" defaultRowHeight="15" x14ac:dyDescent="0.25"/>
  <cols>
    <col min="1" max="1" width="13" customWidth="1"/>
    <col min="2" max="2" width="30.7109375" customWidth="1"/>
    <col min="3" max="3" width="16.42578125" style="29" bestFit="1" customWidth="1"/>
    <col min="4" max="4" width="15.140625" style="22" bestFit="1" customWidth="1"/>
    <col min="5" max="6" width="15.140625" style="22" customWidth="1"/>
    <col min="7" max="7" width="9.7109375" style="22" customWidth="1"/>
    <col min="8" max="8" width="24" customWidth="1"/>
    <col min="9" max="9" width="13.5703125" style="3" customWidth="1"/>
    <col min="10" max="10" width="14.85546875" style="3" customWidth="1"/>
    <col min="11" max="11" width="15" style="3" customWidth="1"/>
    <col min="12" max="12" width="18" style="3" customWidth="1"/>
    <col min="13" max="13" width="16.5703125" style="3" customWidth="1"/>
    <col min="14" max="14" width="16.140625" style="3" customWidth="1"/>
    <col min="15" max="15" width="16.5703125" style="3" customWidth="1"/>
    <col min="16" max="16" width="14" style="3" customWidth="1"/>
    <col min="17" max="17" width="15.7109375" style="3" customWidth="1"/>
    <col min="18" max="19" width="13" style="3" customWidth="1"/>
    <col min="20" max="21" width="12" style="3" customWidth="1"/>
    <col min="22" max="22" width="12.85546875" customWidth="1"/>
    <col min="23" max="23" width="15.85546875" customWidth="1"/>
    <col min="24" max="24" width="14.5703125" customWidth="1"/>
  </cols>
  <sheetData>
    <row r="1" spans="1:22" ht="69" customHeight="1" x14ac:dyDescent="0.25"/>
    <row r="2" spans="1:22" ht="19.5" thickBot="1" x14ac:dyDescent="0.35">
      <c r="A2" s="12"/>
      <c r="B2" s="76"/>
      <c r="C2" s="77"/>
      <c r="D2" s="78"/>
      <c r="E2" s="78"/>
      <c r="F2" s="78"/>
      <c r="G2" s="78"/>
      <c r="H2" s="7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22" ht="18.75" customHeight="1" x14ac:dyDescent="0.25">
      <c r="A3" s="123" t="s">
        <v>0</v>
      </c>
      <c r="B3" s="124"/>
      <c r="H3" s="125" t="s">
        <v>1</v>
      </c>
      <c r="I3" s="126"/>
      <c r="J3" s="58" t="s">
        <v>48</v>
      </c>
      <c r="K3" s="60"/>
      <c r="L3" s="11"/>
      <c r="M3" s="11"/>
      <c r="N3" s="11"/>
      <c r="O3" s="11"/>
      <c r="P3" s="11"/>
      <c r="Q3" s="11"/>
      <c r="R3" s="11"/>
      <c r="S3" s="11"/>
      <c r="T3" s="10"/>
      <c r="U3" s="10"/>
      <c r="V3" s="7"/>
    </row>
    <row r="4" spans="1:22" ht="19.5" thickBot="1" x14ac:dyDescent="0.35">
      <c r="A4" s="1" t="s">
        <v>6</v>
      </c>
      <c r="B4" s="80">
        <f>+H38</f>
        <v>23867</v>
      </c>
      <c r="H4" s="2" t="s">
        <v>27</v>
      </c>
      <c r="I4" s="28"/>
      <c r="J4" s="59" t="s">
        <v>49</v>
      </c>
      <c r="K4" s="6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16.5" thickBot="1" x14ac:dyDescent="0.3">
      <c r="B5" s="57"/>
      <c r="H5" s="54" t="s">
        <v>20</v>
      </c>
      <c r="I5" s="66">
        <v>500</v>
      </c>
      <c r="J5" s="6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ht="19.5" thickBot="1" x14ac:dyDescent="0.35">
      <c r="A6" s="13"/>
      <c r="B6" s="5"/>
      <c r="H6" s="54" t="s">
        <v>18</v>
      </c>
      <c r="I6" s="66">
        <v>150</v>
      </c>
      <c r="J6" s="66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 x14ac:dyDescent="0.25">
      <c r="H7" s="54" t="s">
        <v>89</v>
      </c>
      <c r="I7" s="86" t="s">
        <v>93</v>
      </c>
      <c r="J7" s="66">
        <v>2595</v>
      </c>
      <c r="L7" s="11"/>
      <c r="M7" s="11"/>
      <c r="N7" s="11"/>
      <c r="O7" s="11"/>
      <c r="P7" s="11"/>
      <c r="Q7" s="11"/>
      <c r="R7" s="11"/>
      <c r="S7" s="11"/>
      <c r="T7" s="11"/>
      <c r="U7" s="9"/>
      <c r="V7" s="9"/>
    </row>
    <row r="8" spans="1:22" x14ac:dyDescent="0.25">
      <c r="H8" s="54" t="s">
        <v>2</v>
      </c>
      <c r="I8" s="86" t="s">
        <v>93</v>
      </c>
      <c r="J8" s="66">
        <v>800.16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ht="15.75" x14ac:dyDescent="0.25">
      <c r="A9" s="13" t="s">
        <v>38</v>
      </c>
      <c r="B9" s="47">
        <v>1</v>
      </c>
      <c r="C9" s="43" t="s">
        <v>11</v>
      </c>
      <c r="H9" s="54"/>
      <c r="I9" s="66">
        <v>0</v>
      </c>
      <c r="J9" s="66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ht="15.75" x14ac:dyDescent="0.25">
      <c r="A10" s="13" t="s">
        <v>40</v>
      </c>
      <c r="B10" s="47">
        <v>15</v>
      </c>
      <c r="C10" s="43" t="s">
        <v>11</v>
      </c>
      <c r="H10" s="54" t="s">
        <v>26</v>
      </c>
      <c r="I10" s="86" t="s">
        <v>93</v>
      </c>
      <c r="J10" s="66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5">
      <c r="A11" s="12"/>
      <c r="H11" s="54" t="s">
        <v>3</v>
      </c>
      <c r="I11" s="66">
        <v>350</v>
      </c>
      <c r="J11" s="66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x14ac:dyDescent="0.25">
      <c r="A12" s="12"/>
      <c r="B12" s="20" t="s">
        <v>14</v>
      </c>
      <c r="C12" s="30" t="s">
        <v>22</v>
      </c>
      <c r="D12" s="6" t="s">
        <v>23</v>
      </c>
      <c r="E12" s="6"/>
      <c r="F12" s="6"/>
      <c r="G12" s="6" t="s">
        <v>25</v>
      </c>
      <c r="H12" s="55" t="s">
        <v>4</v>
      </c>
      <c r="I12" s="66">
        <v>264.19</v>
      </c>
      <c r="J12" s="66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A13" s="19" t="s">
        <v>15</v>
      </c>
      <c r="B13" s="81"/>
      <c r="C13" s="51" t="s">
        <v>24</v>
      </c>
      <c r="D13" s="52"/>
      <c r="E13" s="52"/>
      <c r="F13" s="52"/>
      <c r="G13" s="53"/>
      <c r="H13" s="55" t="s">
        <v>12</v>
      </c>
      <c r="I13" s="86" t="s">
        <v>93</v>
      </c>
      <c r="J13" s="66"/>
      <c r="K13" s="11"/>
      <c r="L13" s="11"/>
      <c r="M13" s="11"/>
      <c r="P13" s="11"/>
      <c r="Q13" s="11"/>
      <c r="R13" s="11"/>
      <c r="S13" s="11"/>
      <c r="T13" s="11"/>
      <c r="U13" s="11"/>
      <c r="V13" s="11"/>
    </row>
    <row r="14" spans="1:22" ht="15.75" thickBot="1" x14ac:dyDescent="0.3">
      <c r="A14" s="21" t="s">
        <v>16</v>
      </c>
      <c r="B14" s="81"/>
      <c r="C14" s="51" t="s">
        <v>21</v>
      </c>
      <c r="D14" s="52"/>
      <c r="E14" s="52"/>
      <c r="F14" s="52"/>
      <c r="G14" s="53"/>
      <c r="H14" s="55" t="s">
        <v>5</v>
      </c>
      <c r="I14" s="66">
        <v>250</v>
      </c>
      <c r="J14" s="66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ht="19.5" thickBot="1" x14ac:dyDescent="0.35">
      <c r="A15" s="21" t="s">
        <v>17</v>
      </c>
      <c r="B15" s="81"/>
      <c r="C15" s="51" t="s">
        <v>21</v>
      </c>
      <c r="D15" s="52"/>
      <c r="E15" s="52"/>
      <c r="F15" s="52"/>
      <c r="G15" s="53"/>
      <c r="H15" s="4" t="s">
        <v>7</v>
      </c>
      <c r="I15" s="56">
        <f>SUM(I5:I14)</f>
        <v>1514.19</v>
      </c>
      <c r="J15" s="56">
        <f>SUM(J4:J14)</f>
        <v>3395.16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18.75" x14ac:dyDescent="0.3">
      <c r="A16" s="12"/>
      <c r="B16" s="82">
        <f>SUM(B13:B15)</f>
        <v>0</v>
      </c>
      <c r="H16" s="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4" ht="28.5" x14ac:dyDescent="0.45">
      <c r="A17" s="83" t="s">
        <v>90</v>
      </c>
      <c r="B17" s="84">
        <f>+B4-B16</f>
        <v>23867</v>
      </c>
      <c r="H17" s="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4" ht="21" x14ac:dyDescent="0.35">
      <c r="A18" s="12"/>
      <c r="B18" s="15" t="s">
        <v>47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ht="60.75" customHeight="1" x14ac:dyDescent="0.45">
      <c r="A19" s="35" t="s">
        <v>28</v>
      </c>
      <c r="B19" s="35" t="s">
        <v>9</v>
      </c>
      <c r="C19" s="35" t="s">
        <v>10</v>
      </c>
      <c r="D19" s="35" t="s">
        <v>30</v>
      </c>
      <c r="E19" s="87" t="s">
        <v>106</v>
      </c>
      <c r="F19" s="87" t="s">
        <v>107</v>
      </c>
      <c r="G19" s="33" t="s">
        <v>13</v>
      </c>
      <c r="H19" s="33" t="s">
        <v>36</v>
      </c>
      <c r="I19" s="36" t="s">
        <v>61</v>
      </c>
      <c r="J19" s="36" t="s">
        <v>35</v>
      </c>
      <c r="K19" s="36" t="s">
        <v>39</v>
      </c>
      <c r="L19" s="36" t="s">
        <v>37</v>
      </c>
      <c r="M19" s="37" t="s">
        <v>31</v>
      </c>
      <c r="N19" s="39" t="s">
        <v>32</v>
      </c>
      <c r="O19" s="36" t="s">
        <v>60</v>
      </c>
      <c r="P19" s="37" t="s">
        <v>34</v>
      </c>
      <c r="Q19" s="16" t="s">
        <v>41</v>
      </c>
      <c r="R19" s="16" t="s">
        <v>42</v>
      </c>
      <c r="S19" s="85" t="s">
        <v>91</v>
      </c>
      <c r="T19" s="16" t="s">
        <v>19</v>
      </c>
      <c r="U19" s="16" t="s">
        <v>33</v>
      </c>
      <c r="V19" s="16" t="s">
        <v>45</v>
      </c>
      <c r="W19" s="16" t="s">
        <v>43</v>
      </c>
      <c r="X19" s="16" t="s">
        <v>44</v>
      </c>
    </row>
    <row r="20" spans="1:24" x14ac:dyDescent="0.25">
      <c r="A20" s="62" t="s">
        <v>67</v>
      </c>
      <c r="B20" s="63" t="s">
        <v>68</v>
      </c>
      <c r="C20" s="45">
        <v>40000</v>
      </c>
      <c r="D20" s="61">
        <f>IF(C20&lt;&gt;0,+H20/H$38*100,"")</f>
        <v>36.870993421879582</v>
      </c>
      <c r="E20" s="44">
        <v>0.33800000000000002</v>
      </c>
      <c r="F20" s="61">
        <f>IF(C20&lt;&gt;0,C20*E20,"")</f>
        <v>13520</v>
      </c>
      <c r="G20" s="44">
        <v>0.22</v>
      </c>
      <c r="H20" s="34">
        <f>IF(C20&lt;&gt;0,C20*G20,"")</f>
        <v>8800</v>
      </c>
      <c r="I20" s="34">
        <f t="shared" ref="I20:I37" si="0">IF(C20&lt;&gt;0,+I$15*D20/100,"")</f>
        <v>558.29689529475843</v>
      </c>
      <c r="J20" s="34">
        <f t="shared" ref="J20:J37" si="1">IF(C20&lt;&gt;0,+J$38*$D20/100, "")</f>
        <v>55.30649013281937</v>
      </c>
      <c r="K20" s="34">
        <f t="shared" ref="K20:K37" si="2">IF(C20&lt;&gt;0,+K$38*D20/100,"")</f>
        <v>1251.8292202622868</v>
      </c>
      <c r="L20" s="34">
        <f t="shared" ref="L20:L37" si="3">IF(C20&lt;&gt;0,+H20+K20+J20,"")</f>
        <v>10107.135710395107</v>
      </c>
      <c r="M20" s="34">
        <f t="shared" ref="M20:M37" si="4">IF(C20&lt;&gt;0,+L20*0.005,"")</f>
        <v>50.535678551975536</v>
      </c>
      <c r="N20" s="67">
        <f t="shared" ref="N20:N37" si="5">IF(C20&lt;&gt;"",VLOOKUP(A20,Aranceles,3,0)*L20/100,"")</f>
        <v>0</v>
      </c>
      <c r="O20" s="67">
        <f t="shared" ref="O20:O37" si="6">IF(C20&lt;&gt;0,+L20+M20+N20,"")</f>
        <v>10157.671388947083</v>
      </c>
      <c r="P20" s="67">
        <f>IF(C20&lt;&gt;0,+Tabla13439[[#This Row],[Base Para el Iva]]*B$10/100,"")</f>
        <v>1523.6507083420624</v>
      </c>
      <c r="Q20" s="34">
        <f t="shared" ref="Q20:Q37" si="7">IF(C20&lt;&gt;0,+H20+I20+K20+M20+N20+P20,"")</f>
        <v>12184.312502451083</v>
      </c>
      <c r="R20" s="40">
        <f t="shared" ref="R20:R37" si="8">IF(C20&lt;&gt;0,+Q20/C20,"")</f>
        <v>0.30460781256127706</v>
      </c>
      <c r="S20" s="41">
        <f t="shared" ref="S20:S37" si="9">IF(C20&lt;&gt;0,($R20-$G20)/$G20*100,"")</f>
        <v>38.458096618762298</v>
      </c>
      <c r="T20" s="48">
        <v>50</v>
      </c>
      <c r="U20" s="40">
        <f t="shared" ref="U20:U37" si="10">IF(C20&lt;&gt;0,R20+(R20*T20/100),"")</f>
        <v>0.45691171884191562</v>
      </c>
      <c r="V20" s="48">
        <v>0.66059999999999997</v>
      </c>
      <c r="W20" s="42">
        <f t="shared" ref="W20:W37" si="11">IF(C20&lt;&gt;0,+C20*U20,"")</f>
        <v>18276.468753676625</v>
      </c>
      <c r="X20" s="41">
        <f t="shared" ref="X20:X37" si="12">IF(C20&lt;&gt;0,+W20-Q20,"")</f>
        <v>6092.1562512255423</v>
      </c>
    </row>
    <row r="21" spans="1:24" x14ac:dyDescent="0.25">
      <c r="A21" s="62" t="s">
        <v>67</v>
      </c>
      <c r="B21" s="63" t="s">
        <v>92</v>
      </c>
      <c r="C21" s="45">
        <v>10000</v>
      </c>
      <c r="D21" s="61">
        <f t="shared" ref="D21:D33" si="13">IF(C21&lt;&gt;0,+H21/H$38*100,"")</f>
        <v>10.055725478694431</v>
      </c>
      <c r="E21" s="44">
        <v>0.41</v>
      </c>
      <c r="F21" s="34">
        <f t="shared" ref="F21:F37" si="14">IF(C21&lt;&gt;0,C21*E21,"")</f>
        <v>4100</v>
      </c>
      <c r="G21" s="44">
        <v>0.24</v>
      </c>
      <c r="H21" s="34">
        <f t="shared" ref="H21:H37" si="15">IF(C21&lt;&gt;0,C21*G21,"")</f>
        <v>2400</v>
      </c>
      <c r="I21" s="34">
        <f t="shared" si="0"/>
        <v>152.2627896258432</v>
      </c>
      <c r="J21" s="34">
        <f t="shared" si="1"/>
        <v>15.083588218041646</v>
      </c>
      <c r="K21" s="34">
        <f t="shared" si="2"/>
        <v>341.40796916244182</v>
      </c>
      <c r="L21" s="34">
        <f t="shared" si="3"/>
        <v>2756.4915573804838</v>
      </c>
      <c r="M21" s="34">
        <f t="shared" si="4"/>
        <v>13.78245778690242</v>
      </c>
      <c r="N21" s="67">
        <f t="shared" si="5"/>
        <v>0</v>
      </c>
      <c r="O21" s="67">
        <f t="shared" si="6"/>
        <v>2770.2740151673861</v>
      </c>
      <c r="P21" s="67">
        <f>IF(C21&lt;&gt;0,+Tabla13439[[#This Row],[Base Para el Iva]]*B$10/100,"")</f>
        <v>415.5411022751079</v>
      </c>
      <c r="Q21" s="34">
        <f t="shared" si="7"/>
        <v>3322.9943188502953</v>
      </c>
      <c r="R21" s="40">
        <f t="shared" si="8"/>
        <v>0.33229943188502953</v>
      </c>
      <c r="S21" s="41">
        <f t="shared" si="9"/>
        <v>38.458096618762312</v>
      </c>
      <c r="T21" s="48">
        <v>50</v>
      </c>
      <c r="U21" s="40">
        <f t="shared" si="10"/>
        <v>0.49844914782754429</v>
      </c>
      <c r="V21" s="48">
        <v>0.8014</v>
      </c>
      <c r="W21" s="42">
        <f t="shared" si="11"/>
        <v>4984.4914782754431</v>
      </c>
      <c r="X21" s="41">
        <f t="shared" si="12"/>
        <v>1661.4971594251479</v>
      </c>
    </row>
    <row r="22" spans="1:24" x14ac:dyDescent="0.25">
      <c r="A22" s="62" t="s">
        <v>87</v>
      </c>
      <c r="B22" s="63" t="s">
        <v>74</v>
      </c>
      <c r="C22" s="45">
        <v>6000</v>
      </c>
      <c r="D22" s="61">
        <f t="shared" si="13"/>
        <v>3.5195039175430516</v>
      </c>
      <c r="E22" s="44">
        <v>0.152</v>
      </c>
      <c r="F22" s="61">
        <f t="shared" si="14"/>
        <v>912</v>
      </c>
      <c r="G22" s="44">
        <v>0.14000000000000001</v>
      </c>
      <c r="H22" s="34">
        <f t="shared" si="15"/>
        <v>840.00000000000011</v>
      </c>
      <c r="I22" s="34">
        <f t="shared" si="0"/>
        <v>53.29197636904513</v>
      </c>
      <c r="J22" s="34">
        <f t="shared" si="1"/>
        <v>5.2792558763145765</v>
      </c>
      <c r="K22" s="34">
        <f t="shared" si="2"/>
        <v>119.49278920685467</v>
      </c>
      <c r="L22" s="34">
        <f t="shared" si="3"/>
        <v>964.77204508316936</v>
      </c>
      <c r="M22" s="34">
        <f t="shared" si="4"/>
        <v>4.8238602254158467</v>
      </c>
      <c r="N22" s="67">
        <f t="shared" si="5"/>
        <v>0</v>
      </c>
      <c r="O22" s="67">
        <f t="shared" si="6"/>
        <v>969.5959053085852</v>
      </c>
      <c r="P22" s="67">
        <f>IF(C22&lt;&gt;0,+Tabla13439[[#This Row],[Base Para el Iva]]*B$10/100,"")</f>
        <v>145.43938579628778</v>
      </c>
      <c r="Q22" s="34">
        <f t="shared" si="7"/>
        <v>1163.0480115976036</v>
      </c>
      <c r="R22" s="40">
        <f t="shared" si="8"/>
        <v>0.19384133526626726</v>
      </c>
      <c r="S22" s="41">
        <f t="shared" si="9"/>
        <v>38.458096618762319</v>
      </c>
      <c r="T22" s="48">
        <v>102</v>
      </c>
      <c r="U22" s="40">
        <f t="shared" si="10"/>
        <v>0.39155949723785988</v>
      </c>
      <c r="V22" s="48">
        <v>0.4</v>
      </c>
      <c r="W22" s="42">
        <f t="shared" si="11"/>
        <v>2349.3569834271593</v>
      </c>
      <c r="X22" s="41">
        <f t="shared" si="12"/>
        <v>1186.3089718295557</v>
      </c>
    </row>
    <row r="23" spans="1:24" x14ac:dyDescent="0.25">
      <c r="A23" s="62" t="s">
        <v>88</v>
      </c>
      <c r="B23" s="63" t="s">
        <v>70</v>
      </c>
      <c r="C23" s="45">
        <v>500</v>
      </c>
      <c r="D23" s="61">
        <f t="shared" si="13"/>
        <v>11.522185444337369</v>
      </c>
      <c r="E23" s="44">
        <v>11.8</v>
      </c>
      <c r="F23" s="34">
        <f t="shared" si="14"/>
        <v>5900</v>
      </c>
      <c r="G23" s="44">
        <v>5.5</v>
      </c>
      <c r="H23" s="34">
        <f t="shared" si="15"/>
        <v>2750</v>
      </c>
      <c r="I23" s="34">
        <f t="shared" si="0"/>
        <v>174.46777977961202</v>
      </c>
      <c r="J23" s="34">
        <f t="shared" si="1"/>
        <v>17.283278166506054</v>
      </c>
      <c r="K23" s="34">
        <f t="shared" si="2"/>
        <v>391.19663133196462</v>
      </c>
      <c r="L23" s="34">
        <f t="shared" si="3"/>
        <v>3158.4799094984705</v>
      </c>
      <c r="M23" s="34">
        <f t="shared" si="4"/>
        <v>15.792399547492353</v>
      </c>
      <c r="N23" s="67">
        <f t="shared" si="5"/>
        <v>631.69598189969406</v>
      </c>
      <c r="O23" s="67">
        <f t="shared" si="6"/>
        <v>3805.9682909456569</v>
      </c>
      <c r="P23" s="67">
        <f>IF(C23&lt;&gt;0,+Tabla13439[[#This Row],[Base Para el Iva]]*B$10/100,"")</f>
        <v>570.89524364184854</v>
      </c>
      <c r="Q23" s="34">
        <f t="shared" si="7"/>
        <v>4534.0480362006119</v>
      </c>
      <c r="R23" s="40">
        <f t="shared" si="8"/>
        <v>9.0680960724012234</v>
      </c>
      <c r="S23" s="41">
        <f t="shared" si="9"/>
        <v>64.874474043658608</v>
      </c>
      <c r="T23" s="48">
        <v>160</v>
      </c>
      <c r="U23" s="40">
        <f t="shared" si="10"/>
        <v>23.57704978824318</v>
      </c>
      <c r="V23" s="48">
        <v>47.834400000000002</v>
      </c>
      <c r="W23" s="42">
        <f t="shared" si="11"/>
        <v>11788.52489412159</v>
      </c>
      <c r="X23" s="41">
        <f t="shared" si="12"/>
        <v>7254.4768579209785</v>
      </c>
    </row>
    <row r="24" spans="1:24" x14ac:dyDescent="0.25">
      <c r="A24" s="62" t="s">
        <v>67</v>
      </c>
      <c r="B24" s="63" t="s">
        <v>71</v>
      </c>
      <c r="C24" s="45">
        <v>12500</v>
      </c>
      <c r="D24" s="61">
        <f t="shared" si="13"/>
        <v>7.8560355302300255</v>
      </c>
      <c r="E24" s="44">
        <v>0.28000000000000003</v>
      </c>
      <c r="F24" s="61">
        <f t="shared" si="14"/>
        <v>3500.0000000000005</v>
      </c>
      <c r="G24" s="44">
        <v>0.15</v>
      </c>
      <c r="H24" s="34">
        <f t="shared" si="15"/>
        <v>1875</v>
      </c>
      <c r="I24" s="34">
        <f t="shared" si="0"/>
        <v>118.95530439519003</v>
      </c>
      <c r="J24" s="34">
        <f t="shared" si="1"/>
        <v>11.784053295345039</v>
      </c>
      <c r="K24" s="34">
        <f t="shared" si="2"/>
        <v>266.72497590815772</v>
      </c>
      <c r="L24" s="34">
        <f t="shared" si="3"/>
        <v>2153.5090292035029</v>
      </c>
      <c r="M24" s="34">
        <f t="shared" si="4"/>
        <v>10.767545146017515</v>
      </c>
      <c r="N24" s="67">
        <f t="shared" si="5"/>
        <v>0</v>
      </c>
      <c r="O24" s="67">
        <f t="shared" si="6"/>
        <v>2164.2765743495206</v>
      </c>
      <c r="P24" s="67">
        <f>IF(C24&lt;&gt;0,+Tabla13439[[#This Row],[Base Para el Iva]]*B$10/100,"")</f>
        <v>324.64148615242806</v>
      </c>
      <c r="Q24" s="34">
        <f t="shared" si="7"/>
        <v>2596.0893116017937</v>
      </c>
      <c r="R24" s="40">
        <f t="shared" si="8"/>
        <v>0.2076871449281435</v>
      </c>
      <c r="S24" s="41">
        <f t="shared" si="9"/>
        <v>38.45809661876234</v>
      </c>
      <c r="T24" s="48">
        <v>39</v>
      </c>
      <c r="U24" s="40">
        <f t="shared" si="10"/>
        <v>0.28868513145011948</v>
      </c>
      <c r="V24" s="48">
        <v>0.5</v>
      </c>
      <c r="W24" s="42">
        <f t="shared" si="11"/>
        <v>3608.5641431264935</v>
      </c>
      <c r="X24" s="41">
        <f t="shared" si="12"/>
        <v>1012.4748315246998</v>
      </c>
    </row>
    <row r="25" spans="1:24" x14ac:dyDescent="0.25">
      <c r="A25" s="64" t="s">
        <v>88</v>
      </c>
      <c r="B25" s="63" t="s">
        <v>72</v>
      </c>
      <c r="C25" s="45">
        <v>600</v>
      </c>
      <c r="D25" s="61">
        <f t="shared" si="13"/>
        <v>2.7653245066409688</v>
      </c>
      <c r="E25" s="44">
        <v>1.2</v>
      </c>
      <c r="F25" s="34">
        <f t="shared" si="14"/>
        <v>720</v>
      </c>
      <c r="G25" s="44">
        <v>1.1000000000000001</v>
      </c>
      <c r="H25" s="34">
        <f t="shared" si="15"/>
        <v>660</v>
      </c>
      <c r="I25" s="34">
        <f t="shared" si="0"/>
        <v>41.872267147106889</v>
      </c>
      <c r="J25" s="34">
        <f t="shared" si="1"/>
        <v>4.1479867599614533</v>
      </c>
      <c r="K25" s="34">
        <f t="shared" si="2"/>
        <v>93.887191519671504</v>
      </c>
      <c r="L25" s="34">
        <f t="shared" si="3"/>
        <v>758.03517827963299</v>
      </c>
      <c r="M25" s="34">
        <f t="shared" si="4"/>
        <v>3.7901758913981651</v>
      </c>
      <c r="N25" s="67">
        <f t="shared" si="5"/>
        <v>151.60703565592658</v>
      </c>
      <c r="O25" s="67">
        <f t="shared" si="6"/>
        <v>913.43238982695766</v>
      </c>
      <c r="P25" s="67">
        <f>IF(C25&lt;&gt;0,+Tabla13439[[#This Row],[Base Para el Iva]]*B$10/100,"")</f>
        <v>137.01485847404365</v>
      </c>
      <c r="Q25" s="34">
        <f t="shared" si="7"/>
        <v>1088.1715286881467</v>
      </c>
      <c r="R25" s="40">
        <f t="shared" si="8"/>
        <v>1.8136192144802445</v>
      </c>
      <c r="S25" s="41">
        <f t="shared" si="9"/>
        <v>64.87447404365858</v>
      </c>
      <c r="T25" s="48">
        <v>61</v>
      </c>
      <c r="U25" s="40">
        <f t="shared" si="10"/>
        <v>2.9199269353131934</v>
      </c>
      <c r="V25" s="48">
        <v>3</v>
      </c>
      <c r="W25" s="42">
        <f t="shared" si="11"/>
        <v>1751.956161187916</v>
      </c>
      <c r="X25" s="41">
        <f t="shared" si="12"/>
        <v>663.78463249976926</v>
      </c>
    </row>
    <row r="26" spans="1:24" x14ac:dyDescent="0.25">
      <c r="A26" s="64" t="s">
        <v>67</v>
      </c>
      <c r="B26" s="63" t="s">
        <v>73</v>
      </c>
      <c r="C26" s="45">
        <v>20500</v>
      </c>
      <c r="D26" s="61">
        <f t="shared" si="13"/>
        <v>6.0124858591360466</v>
      </c>
      <c r="E26" s="44">
        <v>8.4000000000000005E-2</v>
      </c>
      <c r="F26" s="61">
        <f t="shared" si="14"/>
        <v>1722</v>
      </c>
      <c r="G26" s="44">
        <v>7.0000000000000007E-2</v>
      </c>
      <c r="H26" s="34">
        <f t="shared" si="15"/>
        <v>1435.0000000000002</v>
      </c>
      <c r="I26" s="34">
        <f t="shared" si="0"/>
        <v>91.040459630452119</v>
      </c>
      <c r="J26" s="34">
        <f t="shared" si="1"/>
        <v>9.0187287887040704</v>
      </c>
      <c r="K26" s="34">
        <f t="shared" si="2"/>
        <v>204.13351489504342</v>
      </c>
      <c r="L26" s="34">
        <f t="shared" si="3"/>
        <v>1648.1522436837477</v>
      </c>
      <c r="M26" s="34">
        <f t="shared" si="4"/>
        <v>8.2407612184187382</v>
      </c>
      <c r="N26" s="67">
        <f t="shared" si="5"/>
        <v>0</v>
      </c>
      <c r="O26" s="67">
        <f t="shared" si="6"/>
        <v>1656.3930049021665</v>
      </c>
      <c r="P26" s="67">
        <f>IF(C26&lt;&gt;0,+Tabla13439[[#This Row],[Base Para el Iva]]*B$10/100,"")</f>
        <v>248.45895073532498</v>
      </c>
      <c r="Q26" s="34">
        <f t="shared" si="7"/>
        <v>1986.8736864792397</v>
      </c>
      <c r="R26" s="40">
        <f t="shared" si="8"/>
        <v>9.6920667633133645E-2</v>
      </c>
      <c r="S26" s="41">
        <f t="shared" si="9"/>
        <v>38.45809661876234</v>
      </c>
      <c r="T26" s="48">
        <v>67</v>
      </c>
      <c r="U26" s="40">
        <f t="shared" si="10"/>
        <v>0.16185751494733319</v>
      </c>
      <c r="V26" s="48">
        <v>0.17499999999999999</v>
      </c>
      <c r="W26" s="42">
        <f t="shared" si="11"/>
        <v>3318.0790564203303</v>
      </c>
      <c r="X26" s="41">
        <f t="shared" si="12"/>
        <v>1331.2053699410906</v>
      </c>
    </row>
    <row r="27" spans="1:24" x14ac:dyDescent="0.25">
      <c r="A27" s="64" t="s">
        <v>75</v>
      </c>
      <c r="B27" s="63" t="s">
        <v>76</v>
      </c>
      <c r="C27" s="45">
        <v>3600</v>
      </c>
      <c r="D27" s="61">
        <f t="shared" si="13"/>
        <v>2.1117023505258308</v>
      </c>
      <c r="E27" s="44">
        <v>0.245</v>
      </c>
      <c r="F27" s="34">
        <f t="shared" si="14"/>
        <v>882</v>
      </c>
      <c r="G27" s="44">
        <v>0.14000000000000001</v>
      </c>
      <c r="H27" s="34">
        <f t="shared" si="15"/>
        <v>504.00000000000006</v>
      </c>
      <c r="I27" s="34">
        <f t="shared" si="0"/>
        <v>31.975185821427075</v>
      </c>
      <c r="J27" s="34">
        <f t="shared" si="1"/>
        <v>3.1675535257887462</v>
      </c>
      <c r="K27" s="34">
        <f t="shared" si="2"/>
        <v>71.695673524112792</v>
      </c>
      <c r="L27" s="34">
        <f t="shared" si="3"/>
        <v>578.86322704990164</v>
      </c>
      <c r="M27" s="34">
        <f t="shared" si="4"/>
        <v>2.8943161352495084</v>
      </c>
      <c r="N27" s="67">
        <f t="shared" si="5"/>
        <v>0</v>
      </c>
      <c r="O27" s="67">
        <f t="shared" si="6"/>
        <v>581.75754318515112</v>
      </c>
      <c r="P27" s="67">
        <f>IF(C27&lt;&gt;0,+Tabla13439[[#This Row],[Base Para el Iva]]*B$10/100,"")</f>
        <v>87.263631477772662</v>
      </c>
      <c r="Q27" s="34">
        <f t="shared" si="7"/>
        <v>697.82880695856193</v>
      </c>
      <c r="R27" s="40">
        <f t="shared" si="8"/>
        <v>0.19384133526626721</v>
      </c>
      <c r="S27" s="41">
        <f t="shared" si="9"/>
        <v>38.458096618762276</v>
      </c>
      <c r="T27" s="48">
        <v>104</v>
      </c>
      <c r="U27" s="40">
        <f t="shared" si="10"/>
        <v>0.39543632394318506</v>
      </c>
      <c r="V27" s="48">
        <v>0.65</v>
      </c>
      <c r="W27" s="42">
        <f t="shared" si="11"/>
        <v>1423.5707661954661</v>
      </c>
      <c r="X27" s="41">
        <f t="shared" si="12"/>
        <v>725.74195923690422</v>
      </c>
    </row>
    <row r="28" spans="1:24" x14ac:dyDescent="0.25">
      <c r="A28" s="64" t="s">
        <v>75</v>
      </c>
      <c r="B28" s="63" t="s">
        <v>77</v>
      </c>
      <c r="C28" s="45">
        <v>1200</v>
      </c>
      <c r="D28" s="61">
        <f t="shared" si="13"/>
        <v>0.7541794109020824</v>
      </c>
      <c r="E28" s="44">
        <v>0.26200000000000001</v>
      </c>
      <c r="F28" s="61">
        <f t="shared" si="14"/>
        <v>314.40000000000003</v>
      </c>
      <c r="G28" s="44">
        <v>0.15</v>
      </c>
      <c r="H28" s="34">
        <f t="shared" si="15"/>
        <v>180</v>
      </c>
      <c r="I28" s="34">
        <f t="shared" si="0"/>
        <v>11.419709221938241</v>
      </c>
      <c r="J28" s="34">
        <f t="shared" si="1"/>
        <v>1.1312691163531234</v>
      </c>
      <c r="K28" s="34">
        <f t="shared" si="2"/>
        <v>25.605597687183138</v>
      </c>
      <c r="L28" s="34">
        <f t="shared" si="3"/>
        <v>206.73686680353626</v>
      </c>
      <c r="M28" s="34">
        <f t="shared" si="4"/>
        <v>1.0336843340176813</v>
      </c>
      <c r="N28" s="67">
        <f t="shared" si="5"/>
        <v>0</v>
      </c>
      <c r="O28" s="67">
        <f t="shared" si="6"/>
        <v>207.77055113755395</v>
      </c>
      <c r="P28" s="67">
        <f>IF(C28&lt;&gt;0,+Tabla13439[[#This Row],[Base Para el Iva]]*B$10/100,"")</f>
        <v>31.165582670633093</v>
      </c>
      <c r="Q28" s="34">
        <f t="shared" si="7"/>
        <v>249.22457391377216</v>
      </c>
      <c r="R28" s="40">
        <f t="shared" si="8"/>
        <v>0.20768714492814347</v>
      </c>
      <c r="S28" s="41">
        <f t="shared" si="9"/>
        <v>38.458096618762319</v>
      </c>
      <c r="T28" s="48">
        <v>105</v>
      </c>
      <c r="U28" s="40">
        <f t="shared" si="10"/>
        <v>0.42575864710269407</v>
      </c>
      <c r="V28" s="48">
        <v>0.7</v>
      </c>
      <c r="W28" s="42">
        <f t="shared" si="11"/>
        <v>510.91037652323286</v>
      </c>
      <c r="X28" s="41">
        <f t="shared" si="12"/>
        <v>261.68580260946067</v>
      </c>
    </row>
    <row r="29" spans="1:24" x14ac:dyDescent="0.25">
      <c r="A29" s="64" t="s">
        <v>75</v>
      </c>
      <c r="B29" s="63" t="s">
        <v>78</v>
      </c>
      <c r="C29" s="45">
        <v>3600</v>
      </c>
      <c r="D29" s="61">
        <f t="shared" si="13"/>
        <v>2.4133741148866634</v>
      </c>
      <c r="E29" s="44">
        <v>0.27800000000000002</v>
      </c>
      <c r="F29" s="34">
        <f t="shared" si="14"/>
        <v>1000.8000000000001</v>
      </c>
      <c r="G29" s="44">
        <v>0.16</v>
      </c>
      <c r="H29" s="34">
        <f t="shared" si="15"/>
        <v>576</v>
      </c>
      <c r="I29" s="34">
        <f t="shared" si="0"/>
        <v>36.543069510202372</v>
      </c>
      <c r="J29" s="34">
        <f t="shared" si="1"/>
        <v>3.6200611723299949</v>
      </c>
      <c r="K29" s="34">
        <f t="shared" si="2"/>
        <v>81.937912598986046</v>
      </c>
      <c r="L29" s="34">
        <f t="shared" si="3"/>
        <v>661.55797377131603</v>
      </c>
      <c r="M29" s="34">
        <f t="shared" si="4"/>
        <v>3.3077898688565801</v>
      </c>
      <c r="N29" s="67">
        <f t="shared" si="5"/>
        <v>0</v>
      </c>
      <c r="O29" s="67">
        <f t="shared" si="6"/>
        <v>664.86576364017264</v>
      </c>
      <c r="P29" s="67">
        <f>IF(C29&lt;&gt;0,+Tabla13439[[#This Row],[Base Para el Iva]]*B$10/100,"")</f>
        <v>99.729864546025894</v>
      </c>
      <c r="Q29" s="34">
        <f t="shared" si="7"/>
        <v>797.51863652407087</v>
      </c>
      <c r="R29" s="40">
        <f t="shared" si="8"/>
        <v>0.22153295459001968</v>
      </c>
      <c r="S29" s="41">
        <f t="shared" si="9"/>
        <v>38.458096618762298</v>
      </c>
      <c r="T29" s="48">
        <v>107</v>
      </c>
      <c r="U29" s="40">
        <f t="shared" si="10"/>
        <v>0.45857321600134071</v>
      </c>
      <c r="V29" s="48">
        <v>0.75</v>
      </c>
      <c r="W29" s="42">
        <f t="shared" si="11"/>
        <v>1650.8635776048266</v>
      </c>
      <c r="X29" s="41">
        <f t="shared" si="12"/>
        <v>853.34494108075569</v>
      </c>
    </row>
    <row r="30" spans="1:24" x14ac:dyDescent="0.25">
      <c r="A30" s="64" t="s">
        <v>79</v>
      </c>
      <c r="B30" s="63" t="s">
        <v>80</v>
      </c>
      <c r="C30" s="45">
        <v>2400</v>
      </c>
      <c r="D30" s="61">
        <f t="shared" si="13"/>
        <v>7.0390078350861014</v>
      </c>
      <c r="E30" s="44">
        <v>0.7</v>
      </c>
      <c r="F30" s="61">
        <f t="shared" si="14"/>
        <v>1680</v>
      </c>
      <c r="G30" s="44">
        <v>0.7</v>
      </c>
      <c r="H30" s="34">
        <f t="shared" si="15"/>
        <v>1680</v>
      </c>
      <c r="I30" s="34">
        <f t="shared" si="0"/>
        <v>106.58395273809025</v>
      </c>
      <c r="J30" s="34">
        <f t="shared" si="1"/>
        <v>10.558511752629151</v>
      </c>
      <c r="K30" s="34">
        <f t="shared" si="2"/>
        <v>238.98557841370928</v>
      </c>
      <c r="L30" s="34">
        <f t="shared" si="3"/>
        <v>1929.5440901663385</v>
      </c>
      <c r="M30" s="34">
        <f t="shared" si="4"/>
        <v>9.6477204508316934</v>
      </c>
      <c r="N30" s="67">
        <f t="shared" si="5"/>
        <v>0</v>
      </c>
      <c r="O30" s="67">
        <f t="shared" si="6"/>
        <v>1939.1918106171702</v>
      </c>
      <c r="P30" s="67">
        <f>IF(C30&lt;&gt;0,+Tabla13439[[#This Row],[Base Para el Iva]]*B$10/100,"")</f>
        <v>290.87877159257556</v>
      </c>
      <c r="Q30" s="34">
        <f t="shared" si="7"/>
        <v>2326.0960231952067</v>
      </c>
      <c r="R30" s="40">
        <f t="shared" si="8"/>
        <v>0.96920667633133617</v>
      </c>
      <c r="S30" s="41">
        <f t="shared" si="9"/>
        <v>38.458096618762319</v>
      </c>
      <c r="T30" s="48">
        <v>100</v>
      </c>
      <c r="U30" s="40">
        <f t="shared" si="10"/>
        <v>1.9384133526626723</v>
      </c>
      <c r="V30" s="48">
        <v>1.8</v>
      </c>
      <c r="W30" s="42">
        <f t="shared" si="11"/>
        <v>4652.1920463904135</v>
      </c>
      <c r="X30" s="41">
        <f t="shared" si="12"/>
        <v>2326.0960231952067</v>
      </c>
    </row>
    <row r="31" spans="1:24" x14ac:dyDescent="0.25">
      <c r="A31" s="64" t="s">
        <v>67</v>
      </c>
      <c r="B31" s="63" t="s">
        <v>81</v>
      </c>
      <c r="C31" s="45">
        <v>100</v>
      </c>
      <c r="D31" s="61">
        <f t="shared" si="13"/>
        <v>4.1898856161226803</v>
      </c>
      <c r="E31" s="44">
        <v>16.5</v>
      </c>
      <c r="F31" s="34">
        <f t="shared" si="14"/>
        <v>1650</v>
      </c>
      <c r="G31" s="44">
        <v>10</v>
      </c>
      <c r="H31" s="34">
        <f t="shared" si="15"/>
        <v>1000</v>
      </c>
      <c r="I31" s="34">
        <f t="shared" si="0"/>
        <v>63.442829010768016</v>
      </c>
      <c r="J31" s="34">
        <f t="shared" si="1"/>
        <v>6.2848284241840204</v>
      </c>
      <c r="K31" s="34">
        <f t="shared" si="2"/>
        <v>142.25332048435078</v>
      </c>
      <c r="L31" s="34">
        <f t="shared" si="3"/>
        <v>1148.5381489085348</v>
      </c>
      <c r="M31" s="34">
        <f t="shared" si="4"/>
        <v>5.7426907445426743</v>
      </c>
      <c r="N31" s="67">
        <f t="shared" si="5"/>
        <v>0</v>
      </c>
      <c r="O31" s="67">
        <f t="shared" si="6"/>
        <v>1154.2808396530775</v>
      </c>
      <c r="P31" s="67">
        <f>IF(C31&lt;&gt;0,+Tabla13439[[#This Row],[Base Para el Iva]]*B$10/100,"")</f>
        <v>173.1421259479616</v>
      </c>
      <c r="Q31" s="34">
        <f t="shared" si="7"/>
        <v>1384.5809661876231</v>
      </c>
      <c r="R31" s="40">
        <f t="shared" si="8"/>
        <v>13.845809661876231</v>
      </c>
      <c r="S31" s="41">
        <f t="shared" si="9"/>
        <v>38.458096618762312</v>
      </c>
      <c r="T31" s="48">
        <v>55</v>
      </c>
      <c r="U31" s="40">
        <f t="shared" si="10"/>
        <v>21.461004975908157</v>
      </c>
      <c r="V31" s="48">
        <v>33</v>
      </c>
      <c r="W31" s="42">
        <f t="shared" si="11"/>
        <v>2146.1004975908158</v>
      </c>
      <c r="X31" s="41">
        <f t="shared" si="12"/>
        <v>761.51953140319279</v>
      </c>
    </row>
    <row r="32" spans="1:24" x14ac:dyDescent="0.25">
      <c r="A32" s="64" t="s">
        <v>67</v>
      </c>
      <c r="B32" s="63" t="s">
        <v>82</v>
      </c>
      <c r="C32" s="45">
        <v>150</v>
      </c>
      <c r="D32" s="61">
        <f t="shared" si="13"/>
        <v>0.62848284241840191</v>
      </c>
      <c r="E32" s="44">
        <v>1.1000000000000001</v>
      </c>
      <c r="F32" s="61">
        <f t="shared" si="14"/>
        <v>165</v>
      </c>
      <c r="G32" s="44">
        <v>1</v>
      </c>
      <c r="H32" s="34">
        <f t="shared" si="15"/>
        <v>150</v>
      </c>
      <c r="I32" s="34">
        <f t="shared" si="0"/>
        <v>9.5164243516151998</v>
      </c>
      <c r="J32" s="34">
        <f t="shared" si="1"/>
        <v>0.94272426362760287</v>
      </c>
      <c r="K32" s="34">
        <f t="shared" si="2"/>
        <v>21.337998072652614</v>
      </c>
      <c r="L32" s="34">
        <f t="shared" si="3"/>
        <v>172.28072233628023</v>
      </c>
      <c r="M32" s="34">
        <f t="shared" si="4"/>
        <v>0.86140361168140123</v>
      </c>
      <c r="N32" s="67">
        <f t="shared" si="5"/>
        <v>0</v>
      </c>
      <c r="O32" s="67">
        <f t="shared" si="6"/>
        <v>173.14212594796163</v>
      </c>
      <c r="P32" s="67">
        <f>IF(C32&lt;&gt;0,+Tabla13439[[#This Row],[Base Para el Iva]]*B$10/100,"")</f>
        <v>25.971318892194244</v>
      </c>
      <c r="Q32" s="34">
        <f t="shared" si="7"/>
        <v>207.68714492814345</v>
      </c>
      <c r="R32" s="40">
        <f t="shared" si="8"/>
        <v>1.3845809661876229</v>
      </c>
      <c r="S32" s="41">
        <f t="shared" si="9"/>
        <v>38.458096618762298</v>
      </c>
      <c r="T32" s="48">
        <v>109.5</v>
      </c>
      <c r="U32" s="40">
        <f t="shared" si="10"/>
        <v>2.9006971241630701</v>
      </c>
      <c r="V32" s="48">
        <v>3</v>
      </c>
      <c r="W32" s="42">
        <f t="shared" si="11"/>
        <v>435.10456862446051</v>
      </c>
      <c r="X32" s="41">
        <f t="shared" si="12"/>
        <v>227.41742369631706</v>
      </c>
    </row>
    <row r="33" spans="1:24" x14ac:dyDescent="0.25">
      <c r="A33" s="64" t="s">
        <v>67</v>
      </c>
      <c r="B33" s="63" t="s">
        <v>83</v>
      </c>
      <c r="C33" s="45">
        <v>100</v>
      </c>
      <c r="D33" s="61">
        <f t="shared" si="13"/>
        <v>0.65781204173126073</v>
      </c>
      <c r="E33" s="44">
        <v>1.77</v>
      </c>
      <c r="F33" s="34">
        <f t="shared" si="14"/>
        <v>177</v>
      </c>
      <c r="G33" s="44">
        <v>1.57</v>
      </c>
      <c r="H33" s="34">
        <f t="shared" si="15"/>
        <v>157</v>
      </c>
      <c r="I33" s="34">
        <f t="shared" si="0"/>
        <v>9.9605241546905763</v>
      </c>
      <c r="J33" s="34">
        <f t="shared" si="1"/>
        <v>0.9867180625968911</v>
      </c>
      <c r="K33" s="34">
        <f t="shared" si="2"/>
        <v>22.33377131604307</v>
      </c>
      <c r="L33" s="34">
        <f t="shared" si="3"/>
        <v>180.32048937863993</v>
      </c>
      <c r="M33" s="34">
        <f t="shared" si="4"/>
        <v>0.90160244689319968</v>
      </c>
      <c r="N33" s="67">
        <f t="shared" si="5"/>
        <v>0</v>
      </c>
      <c r="O33" s="67">
        <f t="shared" si="6"/>
        <v>181.22209182553314</v>
      </c>
      <c r="P33" s="67">
        <f>IF(C33&lt;&gt;0,+Tabla13439[[#This Row],[Base Para el Iva]]*B$10/100,"")</f>
        <v>27.183313773829973</v>
      </c>
      <c r="Q33" s="34">
        <f t="shared" si="7"/>
        <v>217.37921169145682</v>
      </c>
      <c r="R33" s="40">
        <f t="shared" si="8"/>
        <v>2.173792116914568</v>
      </c>
      <c r="S33" s="41">
        <f t="shared" si="9"/>
        <v>38.458096618762291</v>
      </c>
      <c r="T33" s="48">
        <v>75</v>
      </c>
      <c r="U33" s="40">
        <f t="shared" si="10"/>
        <v>3.8041362046004936</v>
      </c>
      <c r="V33" s="48">
        <v>4</v>
      </c>
      <c r="W33" s="42">
        <f t="shared" si="11"/>
        <v>380.41362046004934</v>
      </c>
      <c r="X33" s="41">
        <f t="shared" si="12"/>
        <v>163.03440876859253</v>
      </c>
    </row>
    <row r="34" spans="1:24" x14ac:dyDescent="0.25">
      <c r="A34" s="64" t="s">
        <v>67</v>
      </c>
      <c r="B34" s="63" t="s">
        <v>85</v>
      </c>
      <c r="C34" s="45">
        <v>10000</v>
      </c>
      <c r="D34" s="61">
        <f>IF(C34&lt;&gt;0,+H34/H$38*100,"")</f>
        <v>2.9329199312858765</v>
      </c>
      <c r="E34" s="44">
        <v>7.0000000000000007E-2</v>
      </c>
      <c r="F34" s="61">
        <f t="shared" si="14"/>
        <v>700.00000000000011</v>
      </c>
      <c r="G34" s="44">
        <v>7.0000000000000007E-2</v>
      </c>
      <c r="H34" s="34">
        <f t="shared" si="15"/>
        <v>700.00000000000011</v>
      </c>
      <c r="I34" s="34">
        <f t="shared" si="0"/>
        <v>44.409980307537616</v>
      </c>
      <c r="J34" s="34">
        <f t="shared" si="1"/>
        <v>4.3993798969288145</v>
      </c>
      <c r="K34" s="34">
        <f t="shared" si="2"/>
        <v>99.57732433904556</v>
      </c>
      <c r="L34" s="34">
        <f t="shared" si="3"/>
        <v>803.97670423597447</v>
      </c>
      <c r="M34" s="34">
        <f t="shared" si="4"/>
        <v>4.0198835211798727</v>
      </c>
      <c r="N34" s="67">
        <f t="shared" si="5"/>
        <v>0</v>
      </c>
      <c r="O34" s="67">
        <f t="shared" si="6"/>
        <v>807.99658775715432</v>
      </c>
      <c r="P34" s="67">
        <f>IF(C34&lt;&gt;0,+Tabla13439[[#This Row],[Base Para el Iva]]*B$10/100,"")</f>
        <v>121.19948816357315</v>
      </c>
      <c r="Q34" s="34">
        <f t="shared" si="7"/>
        <v>969.20667633133621</v>
      </c>
      <c r="R34" s="40">
        <f t="shared" si="8"/>
        <v>9.6920667633133617E-2</v>
      </c>
      <c r="S34" s="41">
        <f t="shared" si="9"/>
        <v>38.458096618762298</v>
      </c>
      <c r="T34" s="48">
        <v>180</v>
      </c>
      <c r="U34" s="40">
        <f t="shared" si="10"/>
        <v>0.27137786937277414</v>
      </c>
      <c r="V34" s="48">
        <v>0.25</v>
      </c>
      <c r="W34" s="42">
        <f t="shared" si="11"/>
        <v>2713.7786937277415</v>
      </c>
      <c r="X34" s="41">
        <f t="shared" si="12"/>
        <v>1744.5720173964053</v>
      </c>
    </row>
    <row r="35" spans="1:24" x14ac:dyDescent="0.25">
      <c r="A35" s="64" t="s">
        <v>88</v>
      </c>
      <c r="B35" s="63" t="s">
        <v>86</v>
      </c>
      <c r="C35" s="45">
        <v>1600</v>
      </c>
      <c r="D35" s="61">
        <f t="shared" ref="D35:D37" si="16">IF(C35&lt;&gt;0,+H35/H$38*100,"")</f>
        <v>0.67038169857962882</v>
      </c>
      <c r="E35" s="44">
        <v>0.09</v>
      </c>
      <c r="F35" s="34">
        <f t="shared" si="14"/>
        <v>144</v>
      </c>
      <c r="G35" s="44">
        <v>0.1</v>
      </c>
      <c r="H35" s="34">
        <f t="shared" si="15"/>
        <v>160</v>
      </c>
      <c r="I35" s="34">
        <f t="shared" si="0"/>
        <v>10.150852641722883</v>
      </c>
      <c r="J35" s="34">
        <f t="shared" si="1"/>
        <v>1.0055725478694433</v>
      </c>
      <c r="K35" s="34">
        <f t="shared" si="2"/>
        <v>22.760531277496124</v>
      </c>
      <c r="L35" s="34">
        <f t="shared" si="3"/>
        <v>183.76610382536555</v>
      </c>
      <c r="M35" s="34">
        <f t="shared" si="4"/>
        <v>0.91883051912682778</v>
      </c>
      <c r="N35" s="67">
        <f t="shared" si="5"/>
        <v>36.75322076507311</v>
      </c>
      <c r="O35" s="67">
        <f t="shared" si="6"/>
        <v>221.43815510956549</v>
      </c>
      <c r="P35" s="67">
        <f>IF(C35&lt;&gt;0,+Tabla13439[[#This Row],[Base Para el Iva]]*B$10/100,"")</f>
        <v>33.215723266434821</v>
      </c>
      <c r="Q35" s="34">
        <f t="shared" si="7"/>
        <v>263.79915846985375</v>
      </c>
      <c r="R35" s="40">
        <f t="shared" si="8"/>
        <v>0.1648744740436586</v>
      </c>
      <c r="S35" s="41">
        <f t="shared" si="9"/>
        <v>64.874474043658594</v>
      </c>
      <c r="T35" s="48">
        <v>580</v>
      </c>
      <c r="U35" s="40">
        <f t="shared" si="10"/>
        <v>1.1211464234968784</v>
      </c>
      <c r="V35" s="49">
        <v>1.5</v>
      </c>
      <c r="W35" s="42">
        <f t="shared" si="11"/>
        <v>1793.8342775950055</v>
      </c>
      <c r="X35" s="41">
        <f t="shared" si="12"/>
        <v>1530.0351191251516</v>
      </c>
    </row>
    <row r="36" spans="1:24" x14ac:dyDescent="0.25">
      <c r="A36" s="64"/>
      <c r="B36" s="63"/>
      <c r="C36" s="45"/>
      <c r="D36" s="61" t="str">
        <f t="shared" si="16"/>
        <v/>
      </c>
      <c r="E36" s="44"/>
      <c r="F36" s="61" t="str">
        <f t="shared" si="14"/>
        <v/>
      </c>
      <c r="G36" s="44"/>
      <c r="H36" s="34" t="str">
        <f t="shared" si="15"/>
        <v/>
      </c>
      <c r="I36" s="34" t="str">
        <f t="shared" si="0"/>
        <v/>
      </c>
      <c r="J36" s="34" t="str">
        <f t="shared" si="1"/>
        <v/>
      </c>
      <c r="K36" s="34" t="str">
        <f t="shared" si="2"/>
        <v/>
      </c>
      <c r="L36" s="34" t="str">
        <f t="shared" si="3"/>
        <v/>
      </c>
      <c r="M36" s="34" t="str">
        <f t="shared" si="4"/>
        <v/>
      </c>
      <c r="N36" s="67" t="str">
        <f t="shared" si="5"/>
        <v/>
      </c>
      <c r="O36" s="67" t="str">
        <f t="shared" si="6"/>
        <v/>
      </c>
      <c r="P36" s="67" t="str">
        <f>IF(C36&lt;&gt;0,+Tabla13439[[#This Row],[Base Para el Iva]]*B$10/100,"")</f>
        <v/>
      </c>
      <c r="Q36" s="34" t="str">
        <f t="shared" si="7"/>
        <v/>
      </c>
      <c r="R36" s="40" t="str">
        <f t="shared" si="8"/>
        <v/>
      </c>
      <c r="S36" s="41" t="str">
        <f t="shared" si="9"/>
        <v/>
      </c>
      <c r="T36" s="48"/>
      <c r="U36" s="40" t="str">
        <f t="shared" si="10"/>
        <v/>
      </c>
      <c r="V36" s="49"/>
      <c r="W36" s="42" t="str">
        <f t="shared" si="11"/>
        <v/>
      </c>
      <c r="X36" s="41" t="str">
        <f t="shared" si="12"/>
        <v/>
      </c>
    </row>
    <row r="37" spans="1:24" x14ac:dyDescent="0.25">
      <c r="A37" s="64"/>
      <c r="B37" s="63"/>
      <c r="C37" s="45"/>
      <c r="D37" s="61" t="str">
        <f t="shared" si="16"/>
        <v/>
      </c>
      <c r="E37" s="44"/>
      <c r="F37" s="34" t="str">
        <f t="shared" si="14"/>
        <v/>
      </c>
      <c r="G37" s="44"/>
      <c r="H37" s="34" t="str">
        <f t="shared" si="15"/>
        <v/>
      </c>
      <c r="I37" s="34" t="str">
        <f t="shared" si="0"/>
        <v/>
      </c>
      <c r="J37" s="34" t="str">
        <f t="shared" si="1"/>
        <v/>
      </c>
      <c r="K37" s="34" t="str">
        <f t="shared" si="2"/>
        <v/>
      </c>
      <c r="L37" s="34" t="str">
        <f t="shared" si="3"/>
        <v/>
      </c>
      <c r="M37" s="34" t="str">
        <f t="shared" si="4"/>
        <v/>
      </c>
      <c r="N37" s="67" t="str">
        <f t="shared" si="5"/>
        <v/>
      </c>
      <c r="O37" s="67" t="str">
        <f t="shared" si="6"/>
        <v/>
      </c>
      <c r="P37" s="67" t="str">
        <f>IF(C37&lt;&gt;0,+Tabla13439[[#This Row],[Base Para el Iva]]*B$10/100,"")</f>
        <v/>
      </c>
      <c r="Q37" s="34" t="str">
        <f t="shared" si="7"/>
        <v/>
      </c>
      <c r="R37" s="40" t="str">
        <f t="shared" si="8"/>
        <v/>
      </c>
      <c r="S37" s="40" t="str">
        <f t="shared" si="9"/>
        <v/>
      </c>
      <c r="T37" s="49"/>
      <c r="U37" s="40" t="str">
        <f t="shared" si="10"/>
        <v/>
      </c>
      <c r="V37" s="49"/>
      <c r="W37" s="42" t="str">
        <f t="shared" si="11"/>
        <v/>
      </c>
      <c r="X37" s="41" t="str">
        <f t="shared" si="12"/>
        <v/>
      </c>
    </row>
    <row r="38" spans="1:24" ht="21" x14ac:dyDescent="0.35">
      <c r="A38" s="12"/>
      <c r="B38" s="15" t="s">
        <v>46</v>
      </c>
      <c r="D38" s="75">
        <f>SUM(D20:D37)</f>
        <v>100.00000000000001</v>
      </c>
      <c r="E38" s="75">
        <f>SUM(E20:E37)</f>
        <v>35.279000000000003</v>
      </c>
      <c r="F38" s="75">
        <f>SUM(F20:F37)</f>
        <v>37087.199999999997</v>
      </c>
      <c r="G38" s="22" t="s">
        <v>8</v>
      </c>
      <c r="H38" s="75">
        <f>SUM(H20:H37)</f>
        <v>23867</v>
      </c>
      <c r="I38" s="17">
        <f>SUBTOTAL(109,Tabla13439[Distribucion Gastos Generales])</f>
        <v>1514.1899999999996</v>
      </c>
      <c r="J38" s="46">
        <v>150</v>
      </c>
      <c r="K38" s="46">
        <v>3395.16</v>
      </c>
      <c r="L38" s="17">
        <f>SUBTOTAL(109,Tabla13439[Valor CIF])</f>
        <v>27412.159999999996</v>
      </c>
      <c r="M38" s="17">
        <f>SUBTOTAL(109,Tabla13439[Fodinfa])</f>
        <v>137.06080000000003</v>
      </c>
      <c r="N38" s="17">
        <f>SUBTOTAL(109,Tabla13439[Ad Valorem])</f>
        <v>820.05623832069375</v>
      </c>
      <c r="O38" s="17">
        <f>SUBTOTAL(109,Tabla13439[Base Para el Iva])</f>
        <v>28369.277038320695</v>
      </c>
      <c r="P38" s="17">
        <f>SUBTOTAL(109,Tabla13439[IVA])</f>
        <v>4255.391555748105</v>
      </c>
      <c r="Q38" s="38">
        <f>SUBTOTAL(109,Tabla13439[COSTO TOTAL])</f>
        <v>33988.858594068799</v>
      </c>
      <c r="R38" s="17"/>
      <c r="S38" s="17"/>
      <c r="T38" s="17"/>
      <c r="U38" s="17"/>
      <c r="V38" s="17"/>
      <c r="W38" s="38">
        <f>SUBTOTAL(109,Tabla13439[Venta Total])</f>
        <v>61784.209894947569</v>
      </c>
      <c r="X38" s="38">
        <f>SUBTOTAL(109,Tabla13439[Utilidad de la Importacion])</f>
        <v>27795.351300878763</v>
      </c>
    </row>
  </sheetData>
  <sheetProtection selectLockedCells="1"/>
  <mergeCells count="2">
    <mergeCell ref="A3:B3"/>
    <mergeCell ref="H3:I3"/>
  </mergeCells>
  <printOptions horizontalCentered="1"/>
  <pageMargins left="0.7" right="0.7" top="0.75" bottom="0.75" header="0.3" footer="0.3"/>
  <pageSetup paperSize="9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piarMatrizANuevoLibroProtegido">
                <anchor moveWithCells="1" sizeWithCells="1">
                  <from>
                    <xdr:col>9</xdr:col>
                    <xdr:colOff>28575</xdr:colOff>
                    <xdr:row>0</xdr:row>
                    <xdr:rowOff>47625</xdr:rowOff>
                  </from>
                  <to>
                    <xdr:col>9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uplicarMatrizComoNuevaHoja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liminarHojaImportacion">
                <anchor moveWithCells="1" sizeWithCells="1">
                  <from>
                    <xdr:col>11</xdr:col>
                    <xdr:colOff>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umenDeImportaciones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13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ImprimirImportacionA4Horizontal">
                <anchor moveWithCells="1" sizeWithCells="1">
                  <from>
                    <xdr:col>13</xdr:col>
                    <xdr:colOff>114300</xdr:colOff>
                    <xdr:row>0</xdr:row>
                    <xdr:rowOff>66675</xdr:rowOff>
                  </from>
                  <to>
                    <xdr:col>15</xdr:col>
                    <xdr:colOff>200025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topLeftCell="M16" zoomScale="84" zoomScaleNormal="84" workbookViewId="0">
      <selection activeCell="U24" sqref="U24"/>
    </sheetView>
  </sheetViews>
  <sheetFormatPr baseColWidth="10" defaultRowHeight="15" x14ac:dyDescent="0.25"/>
  <cols>
    <col min="1" max="1" width="13" customWidth="1"/>
    <col min="2" max="2" width="30.7109375" customWidth="1"/>
    <col min="3" max="3" width="16.42578125" style="29" bestFit="1" customWidth="1"/>
    <col min="4" max="4" width="15.140625" style="22" bestFit="1" customWidth="1"/>
    <col min="5" max="6" width="15.140625" style="22" customWidth="1"/>
    <col min="7" max="7" width="9.7109375" style="22" customWidth="1"/>
    <col min="8" max="8" width="24" customWidth="1"/>
    <col min="9" max="9" width="13.5703125" style="3" customWidth="1"/>
    <col min="10" max="10" width="14.85546875" style="3" customWidth="1"/>
    <col min="11" max="11" width="15" style="3" customWidth="1"/>
    <col min="12" max="12" width="16.42578125" style="3" customWidth="1"/>
    <col min="13" max="13" width="11.140625" style="3" customWidth="1"/>
    <col min="14" max="14" width="11" style="3" customWidth="1"/>
    <col min="15" max="16" width="14" style="3" customWidth="1"/>
    <col min="17" max="17" width="16" style="3" customWidth="1"/>
    <col min="18" max="19" width="13" style="3" customWidth="1"/>
    <col min="20" max="20" width="16.7109375" style="3" customWidth="1"/>
    <col min="21" max="21" width="15.28515625" style="3" customWidth="1"/>
    <col min="22" max="22" width="15.85546875" customWidth="1"/>
    <col min="23" max="23" width="19.85546875" customWidth="1"/>
    <col min="24" max="24" width="14.5703125" customWidth="1"/>
    <col min="25" max="25" width="16.42578125" customWidth="1"/>
    <col min="26" max="26" width="17.140625" customWidth="1"/>
    <col min="27" max="27" width="19.5703125" customWidth="1"/>
  </cols>
  <sheetData>
    <row r="1" spans="1:22" ht="69" customHeight="1" x14ac:dyDescent="0.25"/>
    <row r="2" spans="1:22" ht="19.5" thickBot="1" x14ac:dyDescent="0.35">
      <c r="A2" s="12"/>
      <c r="B2" s="76"/>
      <c r="C2" s="77"/>
      <c r="D2" s="78"/>
      <c r="E2" s="78"/>
      <c r="F2" s="78"/>
      <c r="G2" s="78"/>
      <c r="H2" s="7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22" ht="18.75" customHeight="1" x14ac:dyDescent="0.25">
      <c r="A3" s="123" t="s">
        <v>0</v>
      </c>
      <c r="B3" s="124"/>
      <c r="H3" s="125" t="s">
        <v>1</v>
      </c>
      <c r="I3" s="126"/>
      <c r="J3" s="58" t="s">
        <v>48</v>
      </c>
      <c r="K3" s="60"/>
      <c r="L3" s="11"/>
      <c r="M3" s="11"/>
      <c r="N3" s="11"/>
      <c r="O3" s="11"/>
      <c r="P3" s="11"/>
      <c r="Q3" s="11"/>
      <c r="R3" s="11"/>
      <c r="S3" s="11"/>
      <c r="T3" s="10"/>
      <c r="U3" s="10"/>
      <c r="V3" s="7"/>
    </row>
    <row r="4" spans="1:22" ht="19.5" thickBot="1" x14ac:dyDescent="0.35">
      <c r="A4" s="1" t="s">
        <v>6</v>
      </c>
      <c r="B4" s="80">
        <f>+H38</f>
        <v>23867</v>
      </c>
      <c r="H4" s="2" t="s">
        <v>27</v>
      </c>
      <c r="I4" s="28"/>
      <c r="J4" s="59" t="s">
        <v>49</v>
      </c>
      <c r="K4" s="6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16.5" thickBot="1" x14ac:dyDescent="0.3">
      <c r="B5" s="57"/>
      <c r="H5" s="54" t="s">
        <v>20</v>
      </c>
      <c r="I5" s="66">
        <v>500</v>
      </c>
      <c r="J5" s="6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ht="19.5" thickBot="1" x14ac:dyDescent="0.35">
      <c r="A6" s="13"/>
      <c r="B6" s="5"/>
      <c r="H6" s="54" t="s">
        <v>18</v>
      </c>
      <c r="I6" s="66">
        <v>150</v>
      </c>
      <c r="J6" s="66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 x14ac:dyDescent="0.25">
      <c r="H7" s="54" t="s">
        <v>89</v>
      </c>
      <c r="I7" s="86" t="s">
        <v>93</v>
      </c>
      <c r="J7" s="66">
        <v>2595</v>
      </c>
      <c r="L7" s="11"/>
      <c r="M7" s="11"/>
      <c r="N7" s="11"/>
      <c r="O7" s="11"/>
      <c r="P7" s="11"/>
      <c r="Q7" s="11"/>
      <c r="R7" s="11"/>
      <c r="S7" s="11"/>
      <c r="T7" s="11"/>
      <c r="U7" s="9"/>
      <c r="V7" s="9"/>
    </row>
    <row r="8" spans="1:22" x14ac:dyDescent="0.25">
      <c r="H8" s="54" t="s">
        <v>2</v>
      </c>
      <c r="I8" s="86" t="s">
        <v>93</v>
      </c>
      <c r="J8" s="66">
        <v>800.16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ht="15.75" x14ac:dyDescent="0.25">
      <c r="A9" s="13" t="s">
        <v>38</v>
      </c>
      <c r="B9" s="47">
        <v>1</v>
      </c>
      <c r="C9" s="43" t="s">
        <v>11</v>
      </c>
      <c r="H9" s="54"/>
      <c r="I9" s="66"/>
      <c r="J9" s="66"/>
      <c r="K9" s="11"/>
      <c r="L9" s="11" t="s">
        <v>109</v>
      </c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ht="15.75" x14ac:dyDescent="0.25">
      <c r="A10" s="13" t="s">
        <v>40</v>
      </c>
      <c r="B10" s="47">
        <v>15</v>
      </c>
      <c r="C10" s="43" t="s">
        <v>11</v>
      </c>
      <c r="H10" s="54" t="s">
        <v>26</v>
      </c>
      <c r="I10" s="86"/>
      <c r="J10" s="66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5">
      <c r="A11" s="12"/>
      <c r="H11" s="54" t="s">
        <v>3</v>
      </c>
      <c r="I11" s="66">
        <v>515</v>
      </c>
      <c r="J11" s="66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x14ac:dyDescent="0.25">
      <c r="A12" s="12"/>
      <c r="B12" s="20" t="s">
        <v>14</v>
      </c>
      <c r="C12" s="30" t="s">
        <v>22</v>
      </c>
      <c r="D12" s="6" t="s">
        <v>23</v>
      </c>
      <c r="E12" s="6"/>
      <c r="F12" s="6"/>
      <c r="G12" s="6" t="s">
        <v>25</v>
      </c>
      <c r="H12" s="55" t="s">
        <v>4</v>
      </c>
      <c r="I12" s="66">
        <v>264.19</v>
      </c>
      <c r="J12" s="66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A13" s="19" t="s">
        <v>15</v>
      </c>
      <c r="B13" s="81"/>
      <c r="C13" s="51" t="s">
        <v>24</v>
      </c>
      <c r="D13" s="52"/>
      <c r="E13" s="52"/>
      <c r="F13" s="52"/>
      <c r="G13" s="53"/>
      <c r="H13" s="55" t="s">
        <v>12</v>
      </c>
      <c r="I13" s="86" t="s">
        <v>93</v>
      </c>
      <c r="J13" s="66"/>
      <c r="K13" s="11"/>
      <c r="L13" s="11"/>
      <c r="M13" s="11"/>
      <c r="P13" s="11"/>
      <c r="Q13" s="11"/>
      <c r="R13" s="11"/>
      <c r="S13" s="11"/>
      <c r="T13" s="11"/>
      <c r="U13" s="11"/>
      <c r="V13" s="11"/>
    </row>
    <row r="14" spans="1:22" ht="15.75" thickBot="1" x14ac:dyDescent="0.3">
      <c r="A14" s="21" t="s">
        <v>16</v>
      </c>
      <c r="B14" s="81"/>
      <c r="C14" s="51" t="s">
        <v>21</v>
      </c>
      <c r="D14" s="52"/>
      <c r="E14" s="52"/>
      <c r="F14" s="52"/>
      <c r="G14" s="53"/>
      <c r="H14" s="55" t="s">
        <v>5</v>
      </c>
      <c r="I14" s="66">
        <v>250</v>
      </c>
      <c r="J14" s="66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ht="19.5" thickBot="1" x14ac:dyDescent="0.35">
      <c r="A15" s="21" t="s">
        <v>17</v>
      </c>
      <c r="B15" s="81"/>
      <c r="C15" s="51" t="s">
        <v>21</v>
      </c>
      <c r="D15" s="52"/>
      <c r="E15" s="52"/>
      <c r="F15" s="52"/>
      <c r="G15" s="53"/>
      <c r="H15" s="4" t="s">
        <v>7</v>
      </c>
      <c r="I15" s="56">
        <f>SUM(I5:I14)</f>
        <v>1679.19</v>
      </c>
      <c r="J15" s="56">
        <f>SUM(J4:J14)</f>
        <v>3395.16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18.75" x14ac:dyDescent="0.3">
      <c r="A16" s="12"/>
      <c r="B16" s="82">
        <f>SUM(B13:B15)</f>
        <v>0</v>
      </c>
      <c r="H16" s="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27" ht="28.5" x14ac:dyDescent="0.45">
      <c r="A17" s="83" t="s">
        <v>90</v>
      </c>
      <c r="B17" s="84">
        <f>+B4-B16</f>
        <v>23867</v>
      </c>
      <c r="H17" s="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27" ht="21" x14ac:dyDescent="0.35">
      <c r="A18" s="12"/>
      <c r="B18" s="15" t="s">
        <v>47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7" ht="60.75" customHeight="1" x14ac:dyDescent="0.45">
      <c r="A19" s="35" t="s">
        <v>28</v>
      </c>
      <c r="B19" s="35" t="s">
        <v>9</v>
      </c>
      <c r="C19" s="35" t="s">
        <v>10</v>
      </c>
      <c r="D19" s="35" t="s">
        <v>30</v>
      </c>
      <c r="E19" s="87" t="s">
        <v>106</v>
      </c>
      <c r="F19" s="87" t="s">
        <v>107</v>
      </c>
      <c r="G19" s="33" t="s">
        <v>13</v>
      </c>
      <c r="H19" s="33" t="s">
        <v>36</v>
      </c>
      <c r="I19" s="36" t="s">
        <v>61</v>
      </c>
      <c r="J19" s="36" t="s">
        <v>35</v>
      </c>
      <c r="K19" s="36" t="s">
        <v>39</v>
      </c>
      <c r="L19" s="36" t="s">
        <v>37</v>
      </c>
      <c r="M19" s="37" t="s">
        <v>31</v>
      </c>
      <c r="N19" s="39" t="s">
        <v>32</v>
      </c>
      <c r="O19" s="36" t="s">
        <v>60</v>
      </c>
      <c r="P19" s="37" t="s">
        <v>34</v>
      </c>
      <c r="Q19" s="16" t="s">
        <v>110</v>
      </c>
      <c r="R19" s="16" t="s">
        <v>111</v>
      </c>
      <c r="S19" s="16" t="s">
        <v>42</v>
      </c>
      <c r="T19" s="85" t="s">
        <v>91</v>
      </c>
      <c r="U19" s="16" t="s">
        <v>114</v>
      </c>
      <c r="V19" s="16" t="s">
        <v>33</v>
      </c>
      <c r="W19" s="16" t="s">
        <v>115</v>
      </c>
      <c r="X19" s="16" t="s">
        <v>43</v>
      </c>
      <c r="Y19" s="16" t="s">
        <v>44</v>
      </c>
      <c r="Z19" s="16" t="s">
        <v>112</v>
      </c>
      <c r="AA19" s="16" t="s">
        <v>113</v>
      </c>
    </row>
    <row r="20" spans="1:27" x14ac:dyDescent="0.25">
      <c r="A20" s="62" t="s">
        <v>67</v>
      </c>
      <c r="B20" s="63" t="s">
        <v>68</v>
      </c>
      <c r="C20" s="45">
        <v>40000</v>
      </c>
      <c r="D20" s="61">
        <f>IF(C20&lt;&gt;0,+H20/H$38*100,"")</f>
        <v>36.870993421879582</v>
      </c>
      <c r="E20" s="44">
        <v>0.33800000000000002</v>
      </c>
      <c r="F20" s="61">
        <f>IF(C20&lt;&gt;0,C20*E20,"")</f>
        <v>13520</v>
      </c>
      <c r="G20" s="44">
        <v>0.22</v>
      </c>
      <c r="H20" s="34">
        <f>IF(C20&lt;&gt;0,C20*G20,"")</f>
        <v>8800</v>
      </c>
      <c r="I20" s="34">
        <f t="shared" ref="I20:I37" si="0">IF(C20&lt;&gt;0,+I$15*D20/100,"")</f>
        <v>619.13403444085975</v>
      </c>
      <c r="J20" s="34">
        <f t="shared" ref="J20:J37" si="1">IF(C20&lt;&gt;0,+J$38*$D20/100, "")</f>
        <v>55.30649013281937</v>
      </c>
      <c r="K20" s="34">
        <f t="shared" ref="K20:K37" si="2">IF(C20&lt;&gt;0,+K$38*D20/100,"")</f>
        <v>1251.8292202622868</v>
      </c>
      <c r="L20" s="34">
        <f t="shared" ref="L20:L37" si="3">IF(C20&lt;&gt;0,+H20+K20+J20,"")</f>
        <v>10107.135710395107</v>
      </c>
      <c r="M20" s="34">
        <f t="shared" ref="M20:M37" si="4">IF(C20&lt;&gt;0,+L20*0.005,"")</f>
        <v>50.535678551975536</v>
      </c>
      <c r="N20" s="67">
        <f t="shared" ref="N20:N37" si="5">IF(C20&lt;&gt;"",VLOOKUP(A20,Aranceles,3,0)*L20/100,"")</f>
        <v>0</v>
      </c>
      <c r="O20" s="67">
        <f t="shared" ref="O20:O37" si="6">IF(C20&lt;&gt;0,+L20+M20+N20,"")</f>
        <v>10157.671388947083</v>
      </c>
      <c r="P20" s="67">
        <f>IF(C20&lt;&gt;0,+Tabla1343234[[#This Row],[Base Para el Iva]]*B$10/100,"")</f>
        <v>1523.6507083420624</v>
      </c>
      <c r="Q20" s="34">
        <f t="shared" ref="Q20:Q37" si="7">IF(C20&lt;&gt;0,+I20+J20+K20+M20+N20,"")</f>
        <v>1976.8054233879413</v>
      </c>
      <c r="R20" s="34">
        <f>IF(C20&lt;&gt;0,+Q20+F20,"")</f>
        <v>15496.805423387941</v>
      </c>
      <c r="S20" s="40">
        <f t="shared" ref="S20:S37" si="8">IF(C20&lt;&gt;"",+R20/C20,"")</f>
        <v>0.38742013558469851</v>
      </c>
      <c r="T20" s="41">
        <f>IF(C20&lt;&gt;"",+Tabla1343234[[#This Row],[COSTO TOTAL ]]/R$38*100,"")</f>
        <v>43.10263489231928</v>
      </c>
      <c r="U20" s="48">
        <v>50</v>
      </c>
      <c r="V20" s="40">
        <f t="shared" ref="V20:V37" si="9">IF(C20&lt;&gt;"",S20+(S20*U20/100),"")</f>
        <v>0.58113020337704779</v>
      </c>
      <c r="W20" s="48">
        <v>0.66059999999999997</v>
      </c>
      <c r="X20" s="42">
        <f t="shared" ref="X20:X37" si="10">IF(C20&lt;&gt;"",+C20*V20,"")</f>
        <v>23245.208135081913</v>
      </c>
      <c r="Y20" s="41">
        <f t="shared" ref="Y20:Y37" si="11">IF(C20&lt;&gt;"",+X20-R20,"")</f>
        <v>7748.4027116939724</v>
      </c>
      <c r="Z20" s="102">
        <f>IF(C20&lt;&gt;"",+Tabla1343234[[#This Row],[Precio de Venta en Mercado en Dolares]]*C20,"")</f>
        <v>26424</v>
      </c>
      <c r="AA20" s="103">
        <f>IF(C20&lt;&gt;"",+Tabla1343234[[#This Row],[Proyeccion Ventas]]-Tabla1343234[[#This Row],[COSTO TOTAL ]],"")</f>
        <v>10927.194576612059</v>
      </c>
    </row>
    <row r="21" spans="1:27" x14ac:dyDescent="0.25">
      <c r="A21" s="62" t="s">
        <v>67</v>
      </c>
      <c r="B21" s="63" t="s">
        <v>92</v>
      </c>
      <c r="C21" s="45">
        <v>10000</v>
      </c>
      <c r="D21" s="61">
        <f t="shared" ref="D21:D33" si="12">IF(C21&lt;&gt;0,+H21/H$38*100,"")</f>
        <v>10.055725478694431</v>
      </c>
      <c r="E21" s="44">
        <v>0.41</v>
      </c>
      <c r="F21" s="34">
        <f t="shared" ref="F21:F37" si="13">IF(C21&lt;&gt;0,C21*E21,"")</f>
        <v>4100</v>
      </c>
      <c r="G21" s="44">
        <v>0.24</v>
      </c>
      <c r="H21" s="34">
        <f t="shared" ref="H21:H37" si="14">IF(C21&lt;&gt;0,C21*G21,"")</f>
        <v>2400</v>
      </c>
      <c r="I21" s="34">
        <f t="shared" si="0"/>
        <v>168.85473666568902</v>
      </c>
      <c r="J21" s="34">
        <f t="shared" si="1"/>
        <v>15.083588218041646</v>
      </c>
      <c r="K21" s="34">
        <f t="shared" si="2"/>
        <v>341.40796916244182</v>
      </c>
      <c r="L21" s="34">
        <f t="shared" si="3"/>
        <v>2756.4915573804838</v>
      </c>
      <c r="M21" s="34">
        <f t="shared" si="4"/>
        <v>13.78245778690242</v>
      </c>
      <c r="N21" s="67">
        <f t="shared" si="5"/>
        <v>0</v>
      </c>
      <c r="O21" s="67">
        <f t="shared" si="6"/>
        <v>2770.2740151673861</v>
      </c>
      <c r="P21" s="67">
        <f>IF(C21&lt;&gt;0,+Tabla1343234[[#This Row],[Base Para el Iva]]*B$10/100,"")</f>
        <v>415.5411022751079</v>
      </c>
      <c r="Q21" s="34">
        <f t="shared" si="7"/>
        <v>539.12875183307494</v>
      </c>
      <c r="R21" s="34">
        <f t="shared" ref="R21:R37" si="15">IF(C21&lt;&gt;0,+Q21+F21,"")</f>
        <v>4639.1287518330746</v>
      </c>
      <c r="S21" s="40">
        <f t="shared" si="8"/>
        <v>0.46391287518330748</v>
      </c>
      <c r="T21" s="41">
        <f>IF(C21&lt;&gt;"",+Tabla1343234[[#This Row],[COSTO TOTAL ]]/R$38*100,"")</f>
        <v>12.903218911617884</v>
      </c>
      <c r="U21" s="48">
        <v>50</v>
      </c>
      <c r="V21" s="40">
        <f t="shared" si="9"/>
        <v>0.69586931277496122</v>
      </c>
      <c r="W21" s="48">
        <v>0.8014</v>
      </c>
      <c r="X21" s="42">
        <f t="shared" si="10"/>
        <v>6958.6931277496124</v>
      </c>
      <c r="Y21" s="41">
        <f t="shared" si="11"/>
        <v>2319.5643759165378</v>
      </c>
      <c r="Z21" s="102">
        <f>IF(C21&lt;&gt;"",+Tabla1343234[[#This Row],[Precio de Venta en Mercado en Dolares]]*C21,"")</f>
        <v>8014</v>
      </c>
      <c r="AA21" s="103">
        <f>IF(C21&lt;&gt;"",+Tabla1343234[[#This Row],[Proyeccion Ventas]]-Tabla1343234[[#This Row],[COSTO TOTAL ]],"")</f>
        <v>3374.8712481669254</v>
      </c>
    </row>
    <row r="22" spans="1:27" x14ac:dyDescent="0.25">
      <c r="A22" s="62" t="s">
        <v>87</v>
      </c>
      <c r="B22" s="63" t="s">
        <v>74</v>
      </c>
      <c r="C22" s="45">
        <v>6000</v>
      </c>
      <c r="D22" s="61">
        <f t="shared" si="12"/>
        <v>3.5195039175430516</v>
      </c>
      <c r="E22" s="44">
        <v>0.152</v>
      </c>
      <c r="F22" s="61">
        <f t="shared" si="13"/>
        <v>912</v>
      </c>
      <c r="G22" s="44">
        <v>0.14000000000000001</v>
      </c>
      <c r="H22" s="34">
        <f t="shared" si="14"/>
        <v>840.00000000000011</v>
      </c>
      <c r="I22" s="34">
        <f t="shared" si="0"/>
        <v>59.099157832991168</v>
      </c>
      <c r="J22" s="34">
        <f t="shared" si="1"/>
        <v>5.2792558763145765</v>
      </c>
      <c r="K22" s="34">
        <f t="shared" si="2"/>
        <v>119.49278920685467</v>
      </c>
      <c r="L22" s="34">
        <f t="shared" si="3"/>
        <v>964.77204508316936</v>
      </c>
      <c r="M22" s="34">
        <f t="shared" si="4"/>
        <v>4.8238602254158467</v>
      </c>
      <c r="N22" s="67">
        <f t="shared" si="5"/>
        <v>0</v>
      </c>
      <c r="O22" s="67">
        <f t="shared" si="6"/>
        <v>969.5959053085852</v>
      </c>
      <c r="P22" s="67">
        <f>IF(C22&lt;&gt;0,+Tabla1343234[[#This Row],[Base Para el Iva]]*B$10/100,"")</f>
        <v>145.43938579628778</v>
      </c>
      <c r="Q22" s="34">
        <f t="shared" si="7"/>
        <v>188.69506314157627</v>
      </c>
      <c r="R22" s="34">
        <f t="shared" si="15"/>
        <v>1100.6950631415762</v>
      </c>
      <c r="S22" s="40">
        <f t="shared" si="8"/>
        <v>0.18344917719026269</v>
      </c>
      <c r="T22" s="41">
        <f>IF(C22&lt;&gt;"",+Tabla1343234[[#This Row],[COSTO TOTAL ]]/R$38*100,"")</f>
        <v>3.0614604841568456</v>
      </c>
      <c r="U22" s="48">
        <v>102</v>
      </c>
      <c r="V22" s="40">
        <f t="shared" si="9"/>
        <v>0.37056733792433061</v>
      </c>
      <c r="W22" s="48">
        <v>0.4</v>
      </c>
      <c r="X22" s="42">
        <f t="shared" si="10"/>
        <v>2223.4040275459838</v>
      </c>
      <c r="Y22" s="41">
        <f t="shared" si="11"/>
        <v>1122.7089644044077</v>
      </c>
      <c r="Z22" s="102">
        <f>IF(C22&lt;&gt;"",+Tabla1343234[[#This Row],[Precio de Venta en Mercado en Dolares]]*C22,"")</f>
        <v>2400</v>
      </c>
      <c r="AA22" s="103">
        <f>IF(C22&lt;&gt;"",+Tabla1343234[[#This Row],[Proyeccion Ventas]]-Tabla1343234[[#This Row],[COSTO TOTAL ]],"")</f>
        <v>1299.3049368584238</v>
      </c>
    </row>
    <row r="23" spans="1:27" x14ac:dyDescent="0.25">
      <c r="A23" s="62" t="s">
        <v>88</v>
      </c>
      <c r="B23" s="63" t="s">
        <v>70</v>
      </c>
      <c r="C23" s="45">
        <v>500</v>
      </c>
      <c r="D23" s="61">
        <f t="shared" si="12"/>
        <v>11.522185444337369</v>
      </c>
      <c r="E23" s="44">
        <v>11.8</v>
      </c>
      <c r="F23" s="34">
        <f t="shared" si="13"/>
        <v>5900</v>
      </c>
      <c r="G23" s="44">
        <v>5.5</v>
      </c>
      <c r="H23" s="34">
        <f t="shared" si="14"/>
        <v>2750</v>
      </c>
      <c r="I23" s="34">
        <f t="shared" si="0"/>
        <v>193.47938576276869</v>
      </c>
      <c r="J23" s="34">
        <f t="shared" si="1"/>
        <v>17.283278166506054</v>
      </c>
      <c r="K23" s="34">
        <f t="shared" si="2"/>
        <v>391.19663133196462</v>
      </c>
      <c r="L23" s="34">
        <f t="shared" si="3"/>
        <v>3158.4799094984705</v>
      </c>
      <c r="M23" s="34">
        <f t="shared" si="4"/>
        <v>15.792399547492353</v>
      </c>
      <c r="N23" s="67">
        <f t="shared" si="5"/>
        <v>631.69598189969406</v>
      </c>
      <c r="O23" s="67">
        <f t="shared" si="6"/>
        <v>3805.9682909456569</v>
      </c>
      <c r="P23" s="67">
        <f>IF(C23&lt;&gt;0,+Tabla1343234[[#This Row],[Base Para el Iva]]*B$10/100,"")</f>
        <v>570.89524364184854</v>
      </c>
      <c r="Q23" s="34">
        <f t="shared" si="7"/>
        <v>1249.4476767084257</v>
      </c>
      <c r="R23" s="34">
        <f t="shared" si="15"/>
        <v>7149.4476767084252</v>
      </c>
      <c r="S23" s="40">
        <f t="shared" si="8"/>
        <v>14.298895353416851</v>
      </c>
      <c r="T23" s="41">
        <f>IF(C23&lt;&gt;"",+Tabla1343234[[#This Row],[COSTO TOTAL ]]/R$38*100,"")</f>
        <v>19.885390857771579</v>
      </c>
      <c r="U23" s="48">
        <v>160</v>
      </c>
      <c r="V23" s="40">
        <f t="shared" si="9"/>
        <v>37.177127918883812</v>
      </c>
      <c r="W23" s="48">
        <v>47.834400000000002</v>
      </c>
      <c r="X23" s="42">
        <f t="shared" si="10"/>
        <v>18588.563959441904</v>
      </c>
      <c r="Y23" s="41">
        <f t="shared" si="11"/>
        <v>11439.116282733479</v>
      </c>
      <c r="Z23" s="102">
        <f>IF(C23&lt;&gt;"",+Tabla1343234[[#This Row],[Precio de Venta en Mercado en Dolares]]*C23,"")</f>
        <v>23917.200000000001</v>
      </c>
      <c r="AA23" s="103">
        <f>IF(C23&lt;&gt;"",+Tabla1343234[[#This Row],[Proyeccion Ventas]]-Tabla1343234[[#This Row],[COSTO TOTAL ]],"")</f>
        <v>16767.752323291577</v>
      </c>
    </row>
    <row r="24" spans="1:27" x14ac:dyDescent="0.25">
      <c r="A24" s="62" t="s">
        <v>67</v>
      </c>
      <c r="B24" s="63" t="s">
        <v>71</v>
      </c>
      <c r="C24" s="45">
        <v>12500</v>
      </c>
      <c r="D24" s="61">
        <f t="shared" si="12"/>
        <v>7.8560355302300255</v>
      </c>
      <c r="E24" s="44">
        <v>0.28000000000000003</v>
      </c>
      <c r="F24" s="61"/>
      <c r="G24" s="44">
        <v>0.15</v>
      </c>
      <c r="H24" s="34">
        <f t="shared" si="14"/>
        <v>1875</v>
      </c>
      <c r="I24" s="34">
        <f t="shared" si="0"/>
        <v>131.91776302006957</v>
      </c>
      <c r="J24" s="34">
        <f t="shared" si="1"/>
        <v>11.784053295345039</v>
      </c>
      <c r="K24" s="34">
        <f t="shared" si="2"/>
        <v>266.72497590815772</v>
      </c>
      <c r="L24" s="34">
        <f t="shared" si="3"/>
        <v>2153.5090292035029</v>
      </c>
      <c r="M24" s="34">
        <f t="shared" si="4"/>
        <v>10.767545146017515</v>
      </c>
      <c r="N24" s="67">
        <f t="shared" si="5"/>
        <v>0</v>
      </c>
      <c r="O24" s="67">
        <f t="shared" si="6"/>
        <v>2164.2765743495206</v>
      </c>
      <c r="P24" s="67">
        <f>IF(C24&lt;&gt;0,+Tabla1343234[[#This Row],[Base Para el Iva]]*B$10/100,"")</f>
        <v>324.64148615242806</v>
      </c>
      <c r="Q24" s="34">
        <f t="shared" si="7"/>
        <v>421.19433736958985</v>
      </c>
      <c r="R24" s="34">
        <f t="shared" si="15"/>
        <v>421.19433736958985</v>
      </c>
      <c r="S24" s="40">
        <f t="shared" si="8"/>
        <v>3.3695546989567185E-2</v>
      </c>
      <c r="T24" s="41">
        <f>IF(C24&lt;&gt;"",+Tabla1343234[[#This Row],[COSTO TOTAL ]]/R$38*100,"")</f>
        <v>1.1715050454821283</v>
      </c>
      <c r="U24" s="48">
        <v>39</v>
      </c>
      <c r="V24" s="40">
        <f t="shared" si="9"/>
        <v>4.6836810315498384E-2</v>
      </c>
      <c r="W24" s="48">
        <v>0.5</v>
      </c>
      <c r="X24" s="42">
        <f t="shared" si="10"/>
        <v>585.46012894372984</v>
      </c>
      <c r="Y24" s="41">
        <f t="shared" si="11"/>
        <v>164.26579157414</v>
      </c>
      <c r="Z24" s="102">
        <f>IF(C24&lt;&gt;"",+Tabla1343234[[#This Row],[Precio de Venta en Mercado en Dolares]]*C24,"")</f>
        <v>6250</v>
      </c>
      <c r="AA24" s="103">
        <f>IF(C24&lt;&gt;"",+Tabla1343234[[#This Row],[Proyeccion Ventas]]-Tabla1343234[[#This Row],[COSTO TOTAL ]],"")</f>
        <v>5828.8056626304106</v>
      </c>
    </row>
    <row r="25" spans="1:27" x14ac:dyDescent="0.25">
      <c r="A25" s="64" t="s">
        <v>88</v>
      </c>
      <c r="B25" s="63" t="s">
        <v>72</v>
      </c>
      <c r="C25" s="45">
        <v>600</v>
      </c>
      <c r="D25" s="61">
        <f t="shared" si="12"/>
        <v>2.7653245066409688</v>
      </c>
      <c r="E25" s="44">
        <v>1.2</v>
      </c>
      <c r="F25" s="61"/>
      <c r="G25" s="44">
        <v>1.1000000000000001</v>
      </c>
      <c r="H25" s="34">
        <f t="shared" si="14"/>
        <v>660</v>
      </c>
      <c r="I25" s="34">
        <f t="shared" si="0"/>
        <v>46.43505258306449</v>
      </c>
      <c r="J25" s="34">
        <f t="shared" si="1"/>
        <v>4.1479867599614533</v>
      </c>
      <c r="K25" s="34">
        <f t="shared" si="2"/>
        <v>93.887191519671504</v>
      </c>
      <c r="L25" s="34">
        <f t="shared" si="3"/>
        <v>758.03517827963299</v>
      </c>
      <c r="M25" s="34">
        <f t="shared" si="4"/>
        <v>3.7901758913981651</v>
      </c>
      <c r="N25" s="67">
        <f t="shared" si="5"/>
        <v>151.60703565592658</v>
      </c>
      <c r="O25" s="67">
        <f t="shared" si="6"/>
        <v>913.43238982695766</v>
      </c>
      <c r="P25" s="67">
        <f>IF(C25&lt;&gt;0,+Tabla1343234[[#This Row],[Base Para el Iva]]*B$10/100,"")</f>
        <v>137.01485847404365</v>
      </c>
      <c r="Q25" s="34">
        <f t="shared" si="7"/>
        <v>299.86744241002225</v>
      </c>
      <c r="R25" s="34">
        <f t="shared" si="15"/>
        <v>299.86744241002225</v>
      </c>
      <c r="S25" s="40">
        <f t="shared" si="8"/>
        <v>0.49977907068337041</v>
      </c>
      <c r="T25" s="41">
        <f>IF(C25&lt;&gt;"",+Tabla1343234[[#This Row],[COSTO TOTAL ]]/R$38*100,"")</f>
        <v>0.83404782683701406</v>
      </c>
      <c r="U25" s="48">
        <v>61</v>
      </c>
      <c r="V25" s="40">
        <f t="shared" si="9"/>
        <v>0.80464430380022633</v>
      </c>
      <c r="W25" s="48">
        <v>3</v>
      </c>
      <c r="X25" s="42">
        <f t="shared" si="10"/>
        <v>482.7865822801358</v>
      </c>
      <c r="Y25" s="41">
        <f t="shared" si="11"/>
        <v>182.91913987011355</v>
      </c>
      <c r="Z25" s="102">
        <f>IF(C25&lt;&gt;"",+Tabla1343234[[#This Row],[Precio de Venta en Mercado en Dolares]]*C25,"")</f>
        <v>1800</v>
      </c>
      <c r="AA25" s="103">
        <f>IF(C25&lt;&gt;"",+Tabla1343234[[#This Row],[Proyeccion Ventas]]-Tabla1343234[[#This Row],[COSTO TOTAL ]],"")</f>
        <v>1500.1325575899778</v>
      </c>
    </row>
    <row r="26" spans="1:27" x14ac:dyDescent="0.25">
      <c r="A26" s="64" t="s">
        <v>67</v>
      </c>
      <c r="B26" s="63" t="s">
        <v>73</v>
      </c>
      <c r="C26" s="45">
        <v>20500</v>
      </c>
      <c r="D26" s="61">
        <f t="shared" si="12"/>
        <v>6.0124858591360466</v>
      </c>
      <c r="E26" s="44">
        <v>8.4000000000000005E-2</v>
      </c>
      <c r="F26" s="61"/>
      <c r="G26" s="44">
        <v>7.0000000000000007E-2</v>
      </c>
      <c r="H26" s="34">
        <f t="shared" si="14"/>
        <v>1435.0000000000002</v>
      </c>
      <c r="I26" s="34">
        <f t="shared" si="0"/>
        <v>100.96106129802658</v>
      </c>
      <c r="J26" s="34">
        <f t="shared" si="1"/>
        <v>9.0187287887040704</v>
      </c>
      <c r="K26" s="34">
        <f t="shared" si="2"/>
        <v>204.13351489504342</v>
      </c>
      <c r="L26" s="34">
        <f t="shared" si="3"/>
        <v>1648.1522436837477</v>
      </c>
      <c r="M26" s="34">
        <f t="shared" si="4"/>
        <v>8.2407612184187382</v>
      </c>
      <c r="N26" s="67">
        <f t="shared" si="5"/>
        <v>0</v>
      </c>
      <c r="O26" s="67">
        <f t="shared" si="6"/>
        <v>1656.3930049021665</v>
      </c>
      <c r="P26" s="67">
        <f>IF(C26&lt;&gt;0,+Tabla1343234[[#This Row],[Base Para el Iva]]*B$10/100,"")</f>
        <v>248.45895073532498</v>
      </c>
      <c r="Q26" s="34">
        <f t="shared" si="7"/>
        <v>322.35406620019279</v>
      </c>
      <c r="R26" s="34">
        <f t="shared" si="15"/>
        <v>322.35406620019279</v>
      </c>
      <c r="S26" s="40">
        <f t="shared" si="8"/>
        <v>1.5724588595131355E-2</v>
      </c>
      <c r="T26" s="41">
        <f>IF(C26&lt;&gt;"",+Tabla1343234[[#This Row],[COSTO TOTAL ]]/R$38*100,"")</f>
        <v>0.89659186147565539</v>
      </c>
      <c r="U26" s="48">
        <v>67</v>
      </c>
      <c r="V26" s="40">
        <f t="shared" si="9"/>
        <v>2.6260062953869363E-2</v>
      </c>
      <c r="W26" s="48">
        <v>0.17499999999999999</v>
      </c>
      <c r="X26" s="42">
        <f t="shared" si="10"/>
        <v>538.33129055432198</v>
      </c>
      <c r="Y26" s="41">
        <f t="shared" si="11"/>
        <v>215.97722435412919</v>
      </c>
      <c r="Z26" s="102">
        <f>IF(C26&lt;&gt;"",+Tabla1343234[[#This Row],[Precio de Venta en Mercado en Dolares]]*C26,"")</f>
        <v>3587.4999999999995</v>
      </c>
      <c r="AA26" s="103">
        <f>IF(C26&lt;&gt;"",+Tabla1343234[[#This Row],[Proyeccion Ventas]]-Tabla1343234[[#This Row],[COSTO TOTAL ]],"")</f>
        <v>3265.1459337998067</v>
      </c>
    </row>
    <row r="27" spans="1:27" x14ac:dyDescent="0.25">
      <c r="A27" s="64" t="s">
        <v>75</v>
      </c>
      <c r="B27" s="63" t="s">
        <v>76</v>
      </c>
      <c r="C27" s="45">
        <v>3600</v>
      </c>
      <c r="D27" s="61">
        <f t="shared" si="12"/>
        <v>2.1117023505258308</v>
      </c>
      <c r="E27" s="44">
        <v>0.245</v>
      </c>
      <c r="F27" s="61"/>
      <c r="G27" s="44">
        <v>0.14000000000000001</v>
      </c>
      <c r="H27" s="34">
        <f t="shared" si="14"/>
        <v>504.00000000000006</v>
      </c>
      <c r="I27" s="34">
        <f t="shared" si="0"/>
        <v>35.459494699794703</v>
      </c>
      <c r="J27" s="34">
        <f t="shared" si="1"/>
        <v>3.1675535257887462</v>
      </c>
      <c r="K27" s="34">
        <f t="shared" si="2"/>
        <v>71.695673524112792</v>
      </c>
      <c r="L27" s="34">
        <f t="shared" si="3"/>
        <v>578.86322704990164</v>
      </c>
      <c r="M27" s="34">
        <f t="shared" si="4"/>
        <v>2.8943161352495084</v>
      </c>
      <c r="N27" s="67">
        <f t="shared" si="5"/>
        <v>0</v>
      </c>
      <c r="O27" s="67">
        <f t="shared" si="6"/>
        <v>581.75754318515112</v>
      </c>
      <c r="P27" s="67">
        <f>IF(C27&lt;&gt;0,+Tabla1343234[[#This Row],[Base Para el Iva]]*B$10/100,"")</f>
        <v>87.263631477772662</v>
      </c>
      <c r="Q27" s="34">
        <f t="shared" si="7"/>
        <v>113.21703788494575</v>
      </c>
      <c r="R27" s="34">
        <f t="shared" si="15"/>
        <v>113.21703788494575</v>
      </c>
      <c r="S27" s="40">
        <f t="shared" si="8"/>
        <v>3.144917719026271E-2</v>
      </c>
      <c r="T27" s="41">
        <f>IF(C27&lt;&gt;"",+Tabla1343234[[#This Row],[COSTO TOTAL ]]/R$38*100,"")</f>
        <v>0.3149005562255961</v>
      </c>
      <c r="U27" s="48">
        <v>104</v>
      </c>
      <c r="V27" s="40">
        <f t="shared" si="9"/>
        <v>6.4156321468135935E-2</v>
      </c>
      <c r="W27" s="48">
        <v>0.65</v>
      </c>
      <c r="X27" s="42">
        <f t="shared" si="10"/>
        <v>230.96275728528937</v>
      </c>
      <c r="Y27" s="41">
        <f t="shared" si="11"/>
        <v>117.74571940034362</v>
      </c>
      <c r="Z27" s="102">
        <f>IF(C27&lt;&gt;"",+Tabla1343234[[#This Row],[Precio de Venta en Mercado en Dolares]]*C27,"")</f>
        <v>2340</v>
      </c>
      <c r="AA27" s="103">
        <f>IF(C27&lt;&gt;"",+Tabla1343234[[#This Row],[Proyeccion Ventas]]-Tabla1343234[[#This Row],[COSTO TOTAL ]],"")</f>
        <v>2226.782962115054</v>
      </c>
    </row>
    <row r="28" spans="1:27" x14ac:dyDescent="0.25">
      <c r="A28" s="64" t="s">
        <v>75</v>
      </c>
      <c r="B28" s="63" t="s">
        <v>77</v>
      </c>
      <c r="C28" s="45">
        <v>1200</v>
      </c>
      <c r="D28" s="61">
        <f t="shared" si="12"/>
        <v>0.7541794109020824</v>
      </c>
      <c r="E28" s="44">
        <v>0.26200000000000001</v>
      </c>
      <c r="F28" s="61"/>
      <c r="G28" s="44">
        <v>0.15</v>
      </c>
      <c r="H28" s="34">
        <f t="shared" si="14"/>
        <v>180</v>
      </c>
      <c r="I28" s="34">
        <f t="shared" si="0"/>
        <v>12.66410524992668</v>
      </c>
      <c r="J28" s="34">
        <f t="shared" si="1"/>
        <v>1.1312691163531234</v>
      </c>
      <c r="K28" s="34">
        <f t="shared" si="2"/>
        <v>25.605597687183138</v>
      </c>
      <c r="L28" s="34">
        <f t="shared" si="3"/>
        <v>206.73686680353626</v>
      </c>
      <c r="M28" s="34">
        <f t="shared" si="4"/>
        <v>1.0336843340176813</v>
      </c>
      <c r="N28" s="67">
        <f t="shared" si="5"/>
        <v>0</v>
      </c>
      <c r="O28" s="67">
        <f t="shared" si="6"/>
        <v>207.77055113755395</v>
      </c>
      <c r="P28" s="67">
        <f>IF(C28&lt;&gt;0,+Tabla1343234[[#This Row],[Base Para el Iva]]*B$10/100,"")</f>
        <v>31.165582670633093</v>
      </c>
      <c r="Q28" s="34">
        <f t="shared" si="7"/>
        <v>40.434656387480622</v>
      </c>
      <c r="R28" s="34">
        <f t="shared" si="15"/>
        <v>40.434656387480622</v>
      </c>
      <c r="S28" s="40">
        <f t="shared" si="8"/>
        <v>3.3695546989567185E-2</v>
      </c>
      <c r="T28" s="41">
        <f>IF(C28&lt;&gt;"",+Tabla1343234[[#This Row],[COSTO TOTAL ]]/R$38*100,"")</f>
        <v>0.11246448436628431</v>
      </c>
      <c r="U28" s="48">
        <v>105</v>
      </c>
      <c r="V28" s="40">
        <f t="shared" si="9"/>
        <v>6.9075871328612731E-2</v>
      </c>
      <c r="W28" s="48">
        <v>0.7</v>
      </c>
      <c r="X28" s="42">
        <f t="shared" si="10"/>
        <v>82.891045594335282</v>
      </c>
      <c r="Y28" s="41">
        <f t="shared" si="11"/>
        <v>42.456389206854659</v>
      </c>
      <c r="Z28" s="102">
        <f>IF(C28&lt;&gt;"",+Tabla1343234[[#This Row],[Precio de Venta en Mercado en Dolares]]*C28,"")</f>
        <v>840</v>
      </c>
      <c r="AA28" s="103">
        <f>IF(C28&lt;&gt;"",+Tabla1343234[[#This Row],[Proyeccion Ventas]]-Tabla1343234[[#This Row],[COSTO TOTAL ]],"")</f>
        <v>799.56534361251943</v>
      </c>
    </row>
    <row r="29" spans="1:27" x14ac:dyDescent="0.25">
      <c r="A29" s="64" t="s">
        <v>75</v>
      </c>
      <c r="B29" s="63" t="s">
        <v>78</v>
      </c>
      <c r="C29" s="45">
        <v>3600</v>
      </c>
      <c r="D29" s="61">
        <f t="shared" si="12"/>
        <v>2.4133741148866634</v>
      </c>
      <c r="E29" s="44">
        <v>0.27800000000000002</v>
      </c>
      <c r="F29" s="34">
        <f t="shared" si="13"/>
        <v>1000.8000000000001</v>
      </c>
      <c r="G29" s="44">
        <v>0.16</v>
      </c>
      <c r="H29" s="34">
        <f t="shared" si="14"/>
        <v>576</v>
      </c>
      <c r="I29" s="34">
        <f t="shared" si="0"/>
        <v>40.525136799765363</v>
      </c>
      <c r="J29" s="34">
        <f t="shared" si="1"/>
        <v>3.6200611723299949</v>
      </c>
      <c r="K29" s="34">
        <f t="shared" si="2"/>
        <v>81.937912598986046</v>
      </c>
      <c r="L29" s="34">
        <f t="shared" si="3"/>
        <v>661.55797377131603</v>
      </c>
      <c r="M29" s="34">
        <f t="shared" si="4"/>
        <v>3.3077898688565801</v>
      </c>
      <c r="N29" s="67">
        <f t="shared" si="5"/>
        <v>0</v>
      </c>
      <c r="O29" s="67">
        <f t="shared" si="6"/>
        <v>664.86576364017264</v>
      </c>
      <c r="P29" s="67">
        <f>IF(C29&lt;&gt;0,+Tabla1343234[[#This Row],[Base Para el Iva]]*B$10/100,"")</f>
        <v>99.729864546025894</v>
      </c>
      <c r="Q29" s="34">
        <f t="shared" si="7"/>
        <v>129.39090043993798</v>
      </c>
      <c r="R29" s="34">
        <f t="shared" si="15"/>
        <v>1130.1909004399381</v>
      </c>
      <c r="S29" s="40">
        <f t="shared" si="8"/>
        <v>0.31394191678887168</v>
      </c>
      <c r="T29" s="41">
        <f>IF(C29&lt;&gt;"",+Tabla1343234[[#This Row],[COSTO TOTAL ]]/R$38*100,"")</f>
        <v>3.1434998639632035</v>
      </c>
      <c r="U29" s="48">
        <v>107</v>
      </c>
      <c r="V29" s="40">
        <f t="shared" si="9"/>
        <v>0.64985976775296428</v>
      </c>
      <c r="W29" s="48">
        <v>0.75</v>
      </c>
      <c r="X29" s="42">
        <f t="shared" si="10"/>
        <v>2339.4951639106712</v>
      </c>
      <c r="Y29" s="41">
        <f t="shared" si="11"/>
        <v>1209.3042634707331</v>
      </c>
      <c r="Z29" s="102">
        <f>IF(C29&lt;&gt;"",+Tabla1343234[[#This Row],[Precio de Venta en Mercado en Dolares]]*C29,"")</f>
        <v>2700</v>
      </c>
      <c r="AA29" s="103">
        <f>IF(C29&lt;&gt;"",+Tabla1343234[[#This Row],[Proyeccion Ventas]]-Tabla1343234[[#This Row],[COSTO TOTAL ]],"")</f>
        <v>1569.8090995600619</v>
      </c>
    </row>
    <row r="30" spans="1:27" x14ac:dyDescent="0.25">
      <c r="A30" s="64" t="s">
        <v>79</v>
      </c>
      <c r="B30" s="63" t="s">
        <v>80</v>
      </c>
      <c r="C30" s="45">
        <v>2400</v>
      </c>
      <c r="D30" s="61">
        <f t="shared" si="12"/>
        <v>7.0390078350861014</v>
      </c>
      <c r="E30" s="44">
        <v>0.7</v>
      </c>
      <c r="F30" s="61">
        <f t="shared" si="13"/>
        <v>1680</v>
      </c>
      <c r="G30" s="44">
        <v>0.7</v>
      </c>
      <c r="H30" s="34">
        <f t="shared" si="14"/>
        <v>1680</v>
      </c>
      <c r="I30" s="34">
        <f t="shared" si="0"/>
        <v>118.19831566598232</v>
      </c>
      <c r="J30" s="34">
        <f t="shared" si="1"/>
        <v>10.558511752629151</v>
      </c>
      <c r="K30" s="34">
        <f t="shared" si="2"/>
        <v>238.98557841370928</v>
      </c>
      <c r="L30" s="34">
        <f t="shared" si="3"/>
        <v>1929.5440901663385</v>
      </c>
      <c r="M30" s="34">
        <f t="shared" si="4"/>
        <v>9.6477204508316934</v>
      </c>
      <c r="N30" s="67">
        <f t="shared" si="5"/>
        <v>0</v>
      </c>
      <c r="O30" s="67">
        <f t="shared" si="6"/>
        <v>1939.1918106171702</v>
      </c>
      <c r="P30" s="67">
        <f>IF(C30&lt;&gt;0,+Tabla1343234[[#This Row],[Base Para el Iva]]*B$10/100,"")</f>
        <v>290.87877159257556</v>
      </c>
      <c r="Q30" s="34">
        <f t="shared" si="7"/>
        <v>377.39012628315243</v>
      </c>
      <c r="R30" s="34">
        <f t="shared" si="15"/>
        <v>2057.3901262831523</v>
      </c>
      <c r="S30" s="40">
        <f t="shared" si="8"/>
        <v>0.85724588595131346</v>
      </c>
      <c r="T30" s="41">
        <f>IF(C30&lt;&gt;"",+Tabla1343234[[#This Row],[COSTO TOTAL ]]/R$38*100,"")</f>
        <v>5.7224010382430297</v>
      </c>
      <c r="U30" s="48">
        <v>100</v>
      </c>
      <c r="V30" s="40">
        <f t="shared" si="9"/>
        <v>1.7144917719026269</v>
      </c>
      <c r="W30" s="48">
        <v>1.8</v>
      </c>
      <c r="X30" s="42">
        <f t="shared" si="10"/>
        <v>4114.7802525663046</v>
      </c>
      <c r="Y30" s="41">
        <f t="shared" si="11"/>
        <v>2057.3901262831523</v>
      </c>
      <c r="Z30" s="102">
        <f>IF(C30&lt;&gt;"",+Tabla1343234[[#This Row],[Precio de Venta en Mercado en Dolares]]*C30,"")</f>
        <v>4320</v>
      </c>
      <c r="AA30" s="103">
        <f>IF(C30&lt;&gt;"",+Tabla1343234[[#This Row],[Proyeccion Ventas]]-Tabla1343234[[#This Row],[COSTO TOTAL ]],"")</f>
        <v>2262.6098737168477</v>
      </c>
    </row>
    <row r="31" spans="1:27" x14ac:dyDescent="0.25">
      <c r="A31" s="64" t="s">
        <v>67</v>
      </c>
      <c r="B31" s="63" t="s">
        <v>81</v>
      </c>
      <c r="C31" s="45">
        <v>100</v>
      </c>
      <c r="D31" s="61">
        <f t="shared" si="12"/>
        <v>4.1898856161226803</v>
      </c>
      <c r="E31" s="44">
        <v>16.5</v>
      </c>
      <c r="F31" s="34">
        <f t="shared" si="13"/>
        <v>1650</v>
      </c>
      <c r="G31" s="44">
        <v>10</v>
      </c>
      <c r="H31" s="34">
        <f t="shared" si="14"/>
        <v>1000</v>
      </c>
      <c r="I31" s="34">
        <f t="shared" si="0"/>
        <v>70.356140277370443</v>
      </c>
      <c r="J31" s="34">
        <f t="shared" si="1"/>
        <v>6.2848284241840204</v>
      </c>
      <c r="K31" s="34">
        <f t="shared" si="2"/>
        <v>142.25332048435078</v>
      </c>
      <c r="L31" s="34">
        <f t="shared" si="3"/>
        <v>1148.5381489085348</v>
      </c>
      <c r="M31" s="34">
        <f t="shared" si="4"/>
        <v>5.7426907445426743</v>
      </c>
      <c r="N31" s="67">
        <f t="shared" si="5"/>
        <v>0</v>
      </c>
      <c r="O31" s="67">
        <f t="shared" si="6"/>
        <v>1154.2808396530775</v>
      </c>
      <c r="P31" s="67">
        <f>IF(C31&lt;&gt;0,+Tabla1343234[[#This Row],[Base Para el Iva]]*B$10/100,"")</f>
        <v>173.1421259479616</v>
      </c>
      <c r="Q31" s="34">
        <f t="shared" si="7"/>
        <v>224.63697993044792</v>
      </c>
      <c r="R31" s="34">
        <f t="shared" si="15"/>
        <v>1874.636979930448</v>
      </c>
      <c r="S31" s="40">
        <f t="shared" si="8"/>
        <v>18.746369799304478</v>
      </c>
      <c r="T31" s="41">
        <f>IF(C31&lt;&gt;"",+Tabla1343234[[#This Row],[COSTO TOTAL ]]/R$38*100,"")</f>
        <v>5.2140935563167909</v>
      </c>
      <c r="U31" s="48">
        <v>55</v>
      </c>
      <c r="V31" s="40">
        <f t="shared" si="9"/>
        <v>29.056873188921941</v>
      </c>
      <c r="W31" s="48">
        <v>33</v>
      </c>
      <c r="X31" s="42">
        <f t="shared" si="10"/>
        <v>2905.6873188921941</v>
      </c>
      <c r="Y31" s="41">
        <f t="shared" si="11"/>
        <v>1031.0503389617461</v>
      </c>
      <c r="Z31" s="102">
        <f>IF(C31&lt;&gt;"",+Tabla1343234[[#This Row],[Precio de Venta en Mercado en Dolares]]*C31,"")</f>
        <v>3300</v>
      </c>
      <c r="AA31" s="103">
        <f>IF(C31&lt;&gt;"",+Tabla1343234[[#This Row],[Proyeccion Ventas]]-Tabla1343234[[#This Row],[COSTO TOTAL ]],"")</f>
        <v>1425.363020069552</v>
      </c>
    </row>
    <row r="32" spans="1:27" x14ac:dyDescent="0.25">
      <c r="A32" s="64" t="s">
        <v>67</v>
      </c>
      <c r="B32" s="63" t="s">
        <v>82</v>
      </c>
      <c r="C32" s="45">
        <v>150</v>
      </c>
      <c r="D32" s="61">
        <f t="shared" si="12"/>
        <v>0.62848284241840191</v>
      </c>
      <c r="E32" s="44">
        <v>1.1000000000000001</v>
      </c>
      <c r="F32" s="61">
        <f t="shared" si="13"/>
        <v>165</v>
      </c>
      <c r="G32" s="44">
        <v>1</v>
      </c>
      <c r="H32" s="34">
        <f t="shared" si="14"/>
        <v>150</v>
      </c>
      <c r="I32" s="34">
        <f t="shared" si="0"/>
        <v>10.553421041605564</v>
      </c>
      <c r="J32" s="34">
        <f t="shared" si="1"/>
        <v>0.94272426362760287</v>
      </c>
      <c r="K32" s="34">
        <f t="shared" si="2"/>
        <v>21.337998072652614</v>
      </c>
      <c r="L32" s="34">
        <f t="shared" si="3"/>
        <v>172.28072233628023</v>
      </c>
      <c r="M32" s="34">
        <f t="shared" si="4"/>
        <v>0.86140361168140123</v>
      </c>
      <c r="N32" s="67">
        <f t="shared" si="5"/>
        <v>0</v>
      </c>
      <c r="O32" s="67">
        <f t="shared" si="6"/>
        <v>173.14212594796163</v>
      </c>
      <c r="P32" s="67">
        <f>IF(C32&lt;&gt;0,+Tabla1343234[[#This Row],[Base Para el Iva]]*B$10/100,"")</f>
        <v>25.971318892194244</v>
      </c>
      <c r="Q32" s="34">
        <f t="shared" si="7"/>
        <v>33.695546989567184</v>
      </c>
      <c r="R32" s="34">
        <f t="shared" si="15"/>
        <v>198.69554698956719</v>
      </c>
      <c r="S32" s="40">
        <f t="shared" si="8"/>
        <v>1.324636979930448</v>
      </c>
      <c r="T32" s="41">
        <f>IF(C32&lt;&gt;"",+Tabla1343234[[#This Row],[COSTO TOTAL ]]/R$38*100,"")</f>
        <v>0.55264949017786913</v>
      </c>
      <c r="U32" s="48">
        <v>109.5</v>
      </c>
      <c r="V32" s="40">
        <f t="shared" si="9"/>
        <v>2.7751144729542885</v>
      </c>
      <c r="W32" s="48">
        <v>3</v>
      </c>
      <c r="X32" s="42">
        <f t="shared" si="10"/>
        <v>416.2671709431433</v>
      </c>
      <c r="Y32" s="41">
        <f t="shared" si="11"/>
        <v>217.57162395357611</v>
      </c>
      <c r="Z32" s="102">
        <f>IF(C32&lt;&gt;"",+Tabla1343234[[#This Row],[Precio de Venta en Mercado en Dolares]]*C32,"")</f>
        <v>450</v>
      </c>
      <c r="AA32" s="103">
        <f>IF(C32&lt;&gt;"",+Tabla1343234[[#This Row],[Proyeccion Ventas]]-Tabla1343234[[#This Row],[COSTO TOTAL ]],"")</f>
        <v>251.30445301043281</v>
      </c>
    </row>
    <row r="33" spans="1:27" x14ac:dyDescent="0.25">
      <c r="A33" s="64" t="s">
        <v>67</v>
      </c>
      <c r="B33" s="63" t="s">
        <v>83</v>
      </c>
      <c r="C33" s="45">
        <v>100</v>
      </c>
      <c r="D33" s="61">
        <f t="shared" si="12"/>
        <v>0.65781204173126073</v>
      </c>
      <c r="E33" s="44">
        <v>1.77</v>
      </c>
      <c r="F33" s="34"/>
      <c r="G33" s="44">
        <v>1.57</v>
      </c>
      <c r="H33" s="34">
        <f t="shared" si="14"/>
        <v>157</v>
      </c>
      <c r="I33" s="34">
        <f t="shared" si="0"/>
        <v>11.045914023547157</v>
      </c>
      <c r="J33" s="34">
        <f t="shared" si="1"/>
        <v>0.9867180625968911</v>
      </c>
      <c r="K33" s="34">
        <f t="shared" si="2"/>
        <v>22.33377131604307</v>
      </c>
      <c r="L33" s="34">
        <f t="shared" si="3"/>
        <v>180.32048937863993</v>
      </c>
      <c r="M33" s="34">
        <f t="shared" si="4"/>
        <v>0.90160244689319968</v>
      </c>
      <c r="N33" s="67">
        <f t="shared" si="5"/>
        <v>0</v>
      </c>
      <c r="O33" s="67">
        <f t="shared" si="6"/>
        <v>181.22209182553314</v>
      </c>
      <c r="P33" s="67">
        <f>IF(C33&lt;&gt;0,+Tabla1343234[[#This Row],[Base Para el Iva]]*B$10/100,"")</f>
        <v>27.183313773829973</v>
      </c>
      <c r="Q33" s="34">
        <f t="shared" si="7"/>
        <v>35.268005849080318</v>
      </c>
      <c r="R33" s="34">
        <f t="shared" si="15"/>
        <v>35.268005849080318</v>
      </c>
      <c r="S33" s="40">
        <f t="shared" si="8"/>
        <v>0.35268005849080319</v>
      </c>
      <c r="T33" s="41">
        <f>IF(C33&lt;&gt;"",+Tabla1343234[[#This Row],[COSTO TOTAL ]]/R$38*100,"")</f>
        <v>9.8094022475036846E-2</v>
      </c>
      <c r="U33" s="48">
        <v>75</v>
      </c>
      <c r="V33" s="40">
        <f t="shared" si="9"/>
        <v>0.61719010235890559</v>
      </c>
      <c r="W33" s="48">
        <v>4</v>
      </c>
      <c r="X33" s="42">
        <f t="shared" si="10"/>
        <v>61.719010235890558</v>
      </c>
      <c r="Y33" s="41">
        <f t="shared" si="11"/>
        <v>26.45100438681024</v>
      </c>
      <c r="Z33" s="102">
        <f>IF(C33&lt;&gt;"",+Tabla1343234[[#This Row],[Precio de Venta en Mercado en Dolares]]*C33,"")</f>
        <v>400</v>
      </c>
      <c r="AA33" s="103">
        <f>IF(C33&lt;&gt;"",+Tabla1343234[[#This Row],[Proyeccion Ventas]]-Tabla1343234[[#This Row],[COSTO TOTAL ]],"")</f>
        <v>364.73199415091966</v>
      </c>
    </row>
    <row r="34" spans="1:27" x14ac:dyDescent="0.25">
      <c r="A34" s="64" t="s">
        <v>67</v>
      </c>
      <c r="B34" s="63" t="s">
        <v>85</v>
      </c>
      <c r="C34" s="45">
        <v>10000</v>
      </c>
      <c r="D34" s="61">
        <f>IF(C34&lt;&gt;0,+H34/H$38*100,"")</f>
        <v>2.9329199312858765</v>
      </c>
      <c r="E34" s="44">
        <v>7.0000000000000007E-2</v>
      </c>
      <c r="F34" s="61">
        <f t="shared" si="13"/>
        <v>700.00000000000011</v>
      </c>
      <c r="G34" s="44">
        <v>7.0000000000000007E-2</v>
      </c>
      <c r="H34" s="34">
        <f t="shared" si="14"/>
        <v>700.00000000000011</v>
      </c>
      <c r="I34" s="34">
        <f t="shared" si="0"/>
        <v>49.249298194159309</v>
      </c>
      <c r="J34" s="34">
        <f t="shared" si="1"/>
        <v>4.3993798969288145</v>
      </c>
      <c r="K34" s="34">
        <f t="shared" si="2"/>
        <v>99.57732433904556</v>
      </c>
      <c r="L34" s="34">
        <f t="shared" si="3"/>
        <v>803.97670423597447</v>
      </c>
      <c r="M34" s="34">
        <f t="shared" si="4"/>
        <v>4.0198835211798727</v>
      </c>
      <c r="N34" s="67">
        <f t="shared" si="5"/>
        <v>0</v>
      </c>
      <c r="O34" s="67">
        <f t="shared" si="6"/>
        <v>807.99658775715432</v>
      </c>
      <c r="P34" s="67">
        <f>IF(C34&lt;&gt;0,+Tabla1343234[[#This Row],[Base Para el Iva]]*B$10/100,"")</f>
        <v>121.19948816357315</v>
      </c>
      <c r="Q34" s="34">
        <f t="shared" si="7"/>
        <v>157.24588595131357</v>
      </c>
      <c r="R34" s="34">
        <f t="shared" si="15"/>
        <v>857.24588595131365</v>
      </c>
      <c r="S34" s="40">
        <f t="shared" si="8"/>
        <v>8.5724588595131365E-2</v>
      </c>
      <c r="T34" s="41">
        <f>IF(C34&lt;&gt;"",+Tabla1343234[[#This Row],[COSTO TOTAL ]]/R$38*100,"")</f>
        <v>2.3843337659345964</v>
      </c>
      <c r="U34" s="48">
        <v>180</v>
      </c>
      <c r="V34" s="40">
        <f t="shared" si="9"/>
        <v>0.24002884806636782</v>
      </c>
      <c r="W34" s="48">
        <v>0.25</v>
      </c>
      <c r="X34" s="42">
        <f t="shared" si="10"/>
        <v>2400.288480663678</v>
      </c>
      <c r="Y34" s="41">
        <f t="shared" si="11"/>
        <v>1543.0425947123645</v>
      </c>
      <c r="Z34" s="102">
        <f>IF(C34&lt;&gt;"",+Tabla1343234[[#This Row],[Precio de Venta en Mercado en Dolares]]*C34,"")</f>
        <v>2500</v>
      </c>
      <c r="AA34" s="103">
        <f>IF(C34&lt;&gt;"",+Tabla1343234[[#This Row],[Proyeccion Ventas]]-Tabla1343234[[#This Row],[COSTO TOTAL ]],"")</f>
        <v>1642.7541140486865</v>
      </c>
    </row>
    <row r="35" spans="1:27" x14ac:dyDescent="0.25">
      <c r="A35" s="64" t="s">
        <v>88</v>
      </c>
      <c r="B35" s="63" t="s">
        <v>86</v>
      </c>
      <c r="C35" s="45">
        <v>1600</v>
      </c>
      <c r="D35" s="61">
        <f t="shared" ref="D35:D37" si="16">IF(C35&lt;&gt;0,+H35/H$38*100,"")</f>
        <v>0.67038169857962882</v>
      </c>
      <c r="E35" s="44">
        <v>0.09</v>
      </c>
      <c r="F35" s="34">
        <f t="shared" si="13"/>
        <v>144</v>
      </c>
      <c r="G35" s="44">
        <v>0.1</v>
      </c>
      <c r="H35" s="34">
        <f t="shared" si="14"/>
        <v>160</v>
      </c>
      <c r="I35" s="34">
        <f t="shared" si="0"/>
        <v>11.256982444379268</v>
      </c>
      <c r="J35" s="34">
        <f t="shared" si="1"/>
        <v>1.0055725478694433</v>
      </c>
      <c r="K35" s="34">
        <f t="shared" si="2"/>
        <v>22.760531277496124</v>
      </c>
      <c r="L35" s="34">
        <f t="shared" si="3"/>
        <v>183.76610382536555</v>
      </c>
      <c r="M35" s="34">
        <f t="shared" si="4"/>
        <v>0.91883051912682778</v>
      </c>
      <c r="N35" s="67">
        <f t="shared" si="5"/>
        <v>36.75322076507311</v>
      </c>
      <c r="O35" s="67">
        <f t="shared" si="6"/>
        <v>221.43815510956549</v>
      </c>
      <c r="P35" s="67">
        <f>IF(C35&lt;&gt;0,+Tabla1343234[[#This Row],[Base Para el Iva]]*B$10/100,"")</f>
        <v>33.215723266434821</v>
      </c>
      <c r="Q35" s="34">
        <f t="shared" si="7"/>
        <v>72.695137553944775</v>
      </c>
      <c r="R35" s="34">
        <f t="shared" si="15"/>
        <v>216.69513755394479</v>
      </c>
      <c r="S35" s="40">
        <f t="shared" si="8"/>
        <v>0.1354344609712155</v>
      </c>
      <c r="T35" s="41">
        <f>IF(C35&lt;&gt;"",+Tabla1343234[[#This Row],[COSTO TOTAL ]]/R$38*100,"")</f>
        <v>0.60271334263720966</v>
      </c>
      <c r="U35" s="48">
        <v>580</v>
      </c>
      <c r="V35" s="40">
        <f t="shared" si="9"/>
        <v>0.92095433460426535</v>
      </c>
      <c r="W35" s="49">
        <v>1.5</v>
      </c>
      <c r="X35" s="42">
        <f t="shared" si="10"/>
        <v>1473.5269353668245</v>
      </c>
      <c r="Y35" s="41">
        <f t="shared" si="11"/>
        <v>1256.8317978128798</v>
      </c>
      <c r="Z35" s="102">
        <f>IF(C35&lt;&gt;"",+Tabla1343234[[#This Row],[Precio de Venta en Mercado en Dolares]]*C35,"")</f>
        <v>2400</v>
      </c>
      <c r="AA35" s="103">
        <f>IF(C35&lt;&gt;"",+Tabla1343234[[#This Row],[Proyeccion Ventas]]-Tabla1343234[[#This Row],[COSTO TOTAL ]],"")</f>
        <v>2183.3048624460553</v>
      </c>
    </row>
    <row r="36" spans="1:27" x14ac:dyDescent="0.25">
      <c r="A36" s="64"/>
      <c r="B36" s="63"/>
      <c r="C36" s="45"/>
      <c r="D36" s="61" t="str">
        <f t="shared" si="16"/>
        <v/>
      </c>
      <c r="E36" s="44"/>
      <c r="F36" s="61" t="str">
        <f t="shared" si="13"/>
        <v/>
      </c>
      <c r="G36" s="44"/>
      <c r="H36" s="34" t="str">
        <f t="shared" si="14"/>
        <v/>
      </c>
      <c r="I36" s="34" t="str">
        <f t="shared" si="0"/>
        <v/>
      </c>
      <c r="J36" s="34" t="str">
        <f t="shared" si="1"/>
        <v/>
      </c>
      <c r="K36" s="34" t="str">
        <f t="shared" si="2"/>
        <v/>
      </c>
      <c r="L36" s="34" t="str">
        <f t="shared" si="3"/>
        <v/>
      </c>
      <c r="M36" s="34" t="str">
        <f t="shared" si="4"/>
        <v/>
      </c>
      <c r="N36" s="67" t="str">
        <f t="shared" si="5"/>
        <v/>
      </c>
      <c r="O36" s="67" t="str">
        <f t="shared" si="6"/>
        <v/>
      </c>
      <c r="P36" s="67" t="str">
        <f>IF(C36&lt;&gt;0,+Tabla1343234[[#This Row],[Base Para el Iva]]*B$10/100,"")</f>
        <v/>
      </c>
      <c r="Q36" s="34" t="str">
        <f t="shared" si="7"/>
        <v/>
      </c>
      <c r="R36" s="34" t="str">
        <f t="shared" si="15"/>
        <v/>
      </c>
      <c r="S36" s="40" t="str">
        <f t="shared" si="8"/>
        <v/>
      </c>
      <c r="T36" s="41" t="str">
        <f>IF(C36&lt;&gt;"",+Tabla1343234[[#This Row],[COSTO TOTAL ]]/R$38*100,"")</f>
        <v/>
      </c>
      <c r="U36" s="48"/>
      <c r="V36" s="40" t="str">
        <f t="shared" si="9"/>
        <v/>
      </c>
      <c r="W36" s="49"/>
      <c r="X36" s="42" t="str">
        <f t="shared" si="10"/>
        <v/>
      </c>
      <c r="Y36" s="41" t="str">
        <f t="shared" si="11"/>
        <v/>
      </c>
      <c r="Z36" s="102" t="str">
        <f>IF(C36&lt;&gt;"",+Tabla1343234[[#This Row],[Precio de Venta en Mercado en Dolares]]*C36,"")</f>
        <v/>
      </c>
      <c r="AA36" s="103" t="str">
        <f>IF(C36&lt;&gt;"",+Tabla1343234[[#This Row],[Proyeccion Ventas]]-Tabla1343234[[#This Row],[COSTO TOTAL ]],"")</f>
        <v/>
      </c>
    </row>
    <row r="37" spans="1:27" x14ac:dyDescent="0.25">
      <c r="A37" s="64"/>
      <c r="B37" s="63"/>
      <c r="C37" s="45"/>
      <c r="D37" s="61" t="str">
        <f t="shared" si="16"/>
        <v/>
      </c>
      <c r="E37" s="44"/>
      <c r="F37" s="34" t="str">
        <f t="shared" si="13"/>
        <v/>
      </c>
      <c r="G37" s="44"/>
      <c r="H37" s="34" t="str">
        <f t="shared" si="14"/>
        <v/>
      </c>
      <c r="I37" s="34" t="str">
        <f t="shared" si="0"/>
        <v/>
      </c>
      <c r="J37" s="34" t="str">
        <f t="shared" si="1"/>
        <v/>
      </c>
      <c r="K37" s="34" t="str">
        <f t="shared" si="2"/>
        <v/>
      </c>
      <c r="L37" s="34" t="str">
        <f t="shared" si="3"/>
        <v/>
      </c>
      <c r="M37" s="34" t="str">
        <f t="shared" si="4"/>
        <v/>
      </c>
      <c r="N37" s="67" t="str">
        <f t="shared" si="5"/>
        <v/>
      </c>
      <c r="O37" s="67" t="str">
        <f t="shared" si="6"/>
        <v/>
      </c>
      <c r="P37" s="67" t="str">
        <f>IF(C37&lt;&gt;0,+Tabla1343234[[#This Row],[Base Para el Iva]]*B$10/100,"")</f>
        <v/>
      </c>
      <c r="Q37" s="34" t="str">
        <f t="shared" si="7"/>
        <v/>
      </c>
      <c r="R37" s="34" t="str">
        <f t="shared" si="15"/>
        <v/>
      </c>
      <c r="S37" s="40" t="str">
        <f t="shared" si="8"/>
        <v/>
      </c>
      <c r="T37" s="41" t="str">
        <f>IF(C37&lt;&gt;"",+Tabla1343234[[#This Row],[COSTO TOTAL ]]/R$38*100,"")</f>
        <v/>
      </c>
      <c r="U37" s="49"/>
      <c r="V37" s="40" t="str">
        <f t="shared" si="9"/>
        <v/>
      </c>
      <c r="W37" s="49"/>
      <c r="X37" s="42" t="str">
        <f t="shared" si="10"/>
        <v/>
      </c>
      <c r="Y37" s="41" t="str">
        <f t="shared" si="11"/>
        <v/>
      </c>
      <c r="Z37" s="102" t="str">
        <f>IF(C37&lt;&gt;"",+Tabla1343234[[#This Row],[Precio de Venta en Mercado en Dolares]]*C37,"")</f>
        <v/>
      </c>
      <c r="AA37" s="103" t="str">
        <f>IF(C37&lt;&gt;"",+Tabla1343234[[#This Row],[Proyeccion Ventas]]-Tabla1343234[[#This Row],[COSTO TOTAL ]],"")</f>
        <v/>
      </c>
    </row>
    <row r="38" spans="1:27" ht="21" x14ac:dyDescent="0.35">
      <c r="A38" s="12"/>
      <c r="B38" s="15" t="s">
        <v>46</v>
      </c>
      <c r="D38" s="75">
        <f>SUM(D20:D37)</f>
        <v>100.00000000000001</v>
      </c>
      <c r="E38" s="75">
        <f>SUM(E20:E37)</f>
        <v>35.279000000000003</v>
      </c>
      <c r="F38" s="75">
        <f>SUM(F20:F37)</f>
        <v>29771.8</v>
      </c>
      <c r="G38" s="22" t="s">
        <v>8</v>
      </c>
      <c r="H38" s="75">
        <f>SUM(H20:H37)</f>
        <v>23867</v>
      </c>
      <c r="I38" s="17">
        <f>SUBTOTAL(109,Tabla1343234[Distribucion Gastos Generales])</f>
        <v>1679.19</v>
      </c>
      <c r="J38" s="46">
        <v>150</v>
      </c>
      <c r="K38" s="46">
        <v>3395.16</v>
      </c>
      <c r="L38" s="17">
        <f>SUBTOTAL(109,Tabla1343234[Valor CIF])</f>
        <v>27412.159999999996</v>
      </c>
      <c r="M38" s="17">
        <f>SUBTOTAL(109,Tabla1343234[Fodinfa])</f>
        <v>137.06080000000003</v>
      </c>
      <c r="N38" s="17">
        <f>SUBTOTAL(109,Tabla1343234[Ad Valorem])</f>
        <v>820.05623832069375</v>
      </c>
      <c r="O38" s="17">
        <f>SUBTOTAL(109,Tabla1343234[Base Para el Iva])</f>
        <v>28369.277038320695</v>
      </c>
      <c r="P38" s="17">
        <f>SUBTOTAL(109,Tabla1343234[IVA])</f>
        <v>4255.391555748105</v>
      </c>
      <c r="Q38" s="38">
        <f>SUBTOTAL(109,Tabla1343234[TOTAL GASTOS])</f>
        <v>6181.4670383206931</v>
      </c>
      <c r="R38" s="38">
        <f>SUBTOTAL(109,Tabla1343234[[COSTO TOTAL ]])</f>
        <v>35953.267038320693</v>
      </c>
      <c r="S38" s="17"/>
      <c r="T38" s="17">
        <f>SUBTOTAL(109,Tabla1343234[%  Gasto])</f>
        <v>100.00000000000003</v>
      </c>
      <c r="U38" s="17"/>
      <c r="V38" s="17"/>
      <c r="W38" s="17"/>
      <c r="X38" s="38">
        <f>SUBTOTAL(109,Tabla1343234[Venta Total])</f>
        <v>66648.065387055933</v>
      </c>
      <c r="Y38" s="38">
        <f>SUBTOTAL(109,Tabla1343234[Utilidad de la Importacion])</f>
        <v>30694.798348735247</v>
      </c>
      <c r="Z38" s="38">
        <f>SUBTOTAL(109,Tabla1343234[Proyeccion Ventas])</f>
        <v>91642.7</v>
      </c>
      <c r="AA38" s="38">
        <f>SUBTOTAL(109,Tabla1343234[Proyeccion de Utilidad])</f>
        <v>55689.432961679318</v>
      </c>
    </row>
  </sheetData>
  <sheetProtection algorithmName="SHA-512" hashValue="DkDOWTYpldgzzP3TFWmkwACXoBOYrL3H4ch7DJPjBMyB3UocNWD42yVaaFf5KXiT30xYeJzR/Ju13ia8BbzWkA==" saltValue="7Ue9y/ACVFJczm9+wjWYBQ==" spinCount="100000" sheet="1" objects="1" scenarios="1" selectLockedCells="1"/>
  <mergeCells count="2">
    <mergeCell ref="A3:B3"/>
    <mergeCell ref="H3:I3"/>
  </mergeCells>
  <printOptions horizontalCentered="1"/>
  <pageMargins left="0.7" right="0.7" top="0.75" bottom="0.75" header="0.3" footer="0.3"/>
  <pageSetup paperSize="9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piarMatrizANuevoLibroProtegido">
                <anchor moveWithCells="1" sizeWithCells="1">
                  <from>
                    <xdr:col>9</xdr:col>
                    <xdr:colOff>28575</xdr:colOff>
                    <xdr:row>0</xdr:row>
                    <xdr:rowOff>47625</xdr:rowOff>
                  </from>
                  <to>
                    <xdr:col>9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DuplicarMatrizComoNuevaHoja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EliminarHojaImportacion">
                <anchor moveWithCells="1" sizeWithCells="1">
                  <from>
                    <xdr:col>11</xdr:col>
                    <xdr:colOff>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ResumenDeImportaciones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13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mprimirImportacionA4Horizontal">
                <anchor moveWithCells="1" sizeWithCells="1">
                  <from>
                    <xdr:col>13</xdr:col>
                    <xdr:colOff>114300</xdr:colOff>
                    <xdr:row>0</xdr:row>
                    <xdr:rowOff>66675</xdr:rowOff>
                  </from>
                  <to>
                    <xdr:col>15</xdr:col>
                    <xdr:colOff>200025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C226"/>
  <sheetViews>
    <sheetView topLeftCell="E10" zoomScale="84" zoomScaleNormal="84" workbookViewId="0">
      <selection activeCell="B20" sqref="B20"/>
    </sheetView>
  </sheetViews>
  <sheetFormatPr baseColWidth="10" defaultRowHeight="15" x14ac:dyDescent="0.25"/>
  <cols>
    <col min="1" max="1" width="13" customWidth="1"/>
    <col min="2" max="2" width="30.7109375" customWidth="1"/>
    <col min="3" max="3" width="16.42578125" style="29" bestFit="1" customWidth="1"/>
    <col min="4" max="4" width="15.140625" style="22" bestFit="1" customWidth="1"/>
    <col min="5" max="5" width="9.7109375" style="22" customWidth="1"/>
    <col min="6" max="6" width="24" customWidth="1"/>
    <col min="7" max="7" width="13.5703125" style="3" customWidth="1"/>
    <col min="8" max="8" width="14.85546875" style="3" customWidth="1"/>
    <col min="9" max="9" width="15" style="3" customWidth="1"/>
    <col min="10" max="10" width="16.42578125" style="3" customWidth="1"/>
    <col min="11" max="11" width="11.140625" style="3" customWidth="1"/>
    <col min="12" max="14" width="11" style="3" customWidth="1"/>
    <col min="15" max="15" width="14" style="3" customWidth="1"/>
    <col min="16" max="17" width="13" style="3" customWidth="1"/>
    <col min="18" max="19" width="12" style="3" customWidth="1"/>
    <col min="20" max="20" width="12.85546875" customWidth="1"/>
    <col min="21" max="21" width="14.28515625" customWidth="1"/>
    <col min="22" max="22" width="14.5703125" customWidth="1"/>
    <col min="26" max="26" width="11.5703125" customWidth="1"/>
    <col min="27" max="27" width="13.5703125" customWidth="1"/>
    <col min="28" max="28" width="34.42578125" customWidth="1"/>
    <col min="29" max="29" width="20.140625" customWidth="1"/>
  </cols>
  <sheetData>
    <row r="1" spans="1:29" ht="69" customHeight="1" x14ac:dyDescent="0.45">
      <c r="Z1" s="68" t="s">
        <v>51</v>
      </c>
    </row>
    <row r="2" spans="1:29" ht="19.5" thickBot="1" x14ac:dyDescent="0.35">
      <c r="A2" s="12"/>
      <c r="B2" s="26"/>
      <c r="F2" s="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Z2" t="s">
        <v>52</v>
      </c>
      <c r="AA2" t="s">
        <v>53</v>
      </c>
      <c r="AB2" t="s">
        <v>55</v>
      </c>
      <c r="AC2" t="s">
        <v>54</v>
      </c>
    </row>
    <row r="3" spans="1:29" ht="18.75" customHeight="1" x14ac:dyDescent="0.25">
      <c r="A3" s="123" t="s">
        <v>0</v>
      </c>
      <c r="B3" s="124"/>
      <c r="F3" s="125" t="s">
        <v>1</v>
      </c>
      <c r="G3" s="126"/>
      <c r="H3" s="58" t="s">
        <v>48</v>
      </c>
      <c r="I3" s="60"/>
      <c r="J3" s="11"/>
      <c r="K3" s="11"/>
      <c r="L3" s="11"/>
      <c r="M3" s="11"/>
      <c r="N3" s="11"/>
      <c r="O3" s="11"/>
      <c r="P3" s="11"/>
      <c r="Q3" s="11"/>
      <c r="R3" s="10"/>
      <c r="S3" s="10"/>
      <c r="T3" s="7"/>
      <c r="Z3" s="69">
        <v>1</v>
      </c>
      <c r="AA3" s="70" t="s">
        <v>29</v>
      </c>
      <c r="AB3" s="70" t="s">
        <v>58</v>
      </c>
      <c r="AC3" s="70">
        <v>0</v>
      </c>
    </row>
    <row r="4" spans="1:29" ht="19.5" thickBot="1" x14ac:dyDescent="0.35">
      <c r="A4" s="1" t="s">
        <v>6</v>
      </c>
      <c r="B4" s="27">
        <f>+F35</f>
        <v>1852</v>
      </c>
      <c r="F4" s="2" t="s">
        <v>27</v>
      </c>
      <c r="G4" s="28"/>
      <c r="H4" s="59" t="s">
        <v>49</v>
      </c>
      <c r="I4" s="60"/>
      <c r="J4" s="11"/>
      <c r="K4" s="11"/>
      <c r="L4" s="11"/>
      <c r="M4" s="11"/>
      <c r="N4" s="11"/>
      <c r="O4" s="11"/>
      <c r="P4" s="11"/>
      <c r="Q4" s="11"/>
      <c r="R4" s="11"/>
      <c r="S4" s="11"/>
      <c r="T4" s="7"/>
      <c r="Z4" s="69">
        <v>2</v>
      </c>
      <c r="AA4" s="70" t="s">
        <v>57</v>
      </c>
      <c r="AB4" s="70"/>
      <c r="AC4" s="70">
        <v>20</v>
      </c>
    </row>
    <row r="5" spans="1:29" ht="16.5" thickBot="1" x14ac:dyDescent="0.3">
      <c r="B5" s="57"/>
      <c r="F5" s="54" t="s">
        <v>20</v>
      </c>
      <c r="G5" s="71">
        <v>142.21</v>
      </c>
      <c r="H5" s="32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7"/>
      <c r="Z5" s="69">
        <v>3</v>
      </c>
      <c r="AA5" s="70"/>
      <c r="AB5" s="70"/>
      <c r="AC5" s="70"/>
    </row>
    <row r="6" spans="1:29" ht="19.5" thickBot="1" x14ac:dyDescent="0.35">
      <c r="A6" s="13"/>
      <c r="B6" s="5"/>
      <c r="F6" s="54" t="s">
        <v>18</v>
      </c>
      <c r="G6" s="6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7"/>
      <c r="Z6" s="69">
        <v>4</v>
      </c>
      <c r="AA6" s="70"/>
      <c r="AB6" s="70"/>
      <c r="AC6" s="70"/>
    </row>
    <row r="7" spans="1:29" ht="21" x14ac:dyDescent="0.35">
      <c r="F7" s="54" t="s">
        <v>65</v>
      </c>
      <c r="G7" s="66">
        <v>60</v>
      </c>
      <c r="H7" s="9"/>
      <c r="J7" s="11"/>
      <c r="K7" s="11"/>
      <c r="L7" s="11"/>
      <c r="M7" s="11"/>
      <c r="N7" s="11"/>
      <c r="O7" s="11"/>
      <c r="P7" s="11"/>
      <c r="Q7" s="11"/>
      <c r="R7" s="9"/>
      <c r="S7" s="9"/>
      <c r="T7" s="25"/>
      <c r="Z7" s="69">
        <v>5</v>
      </c>
      <c r="AA7" s="70"/>
      <c r="AB7" s="70"/>
      <c r="AC7" s="70"/>
    </row>
    <row r="8" spans="1:29" x14ac:dyDescent="0.25">
      <c r="F8" s="54" t="s">
        <v>2</v>
      </c>
      <c r="G8" s="66">
        <v>0</v>
      </c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8"/>
      <c r="Z8" s="69">
        <v>6</v>
      </c>
      <c r="AA8" s="70"/>
      <c r="AB8" s="70"/>
      <c r="AC8" s="70"/>
    </row>
    <row r="9" spans="1:29" ht="15.75" x14ac:dyDescent="0.25">
      <c r="A9" s="13" t="s">
        <v>38</v>
      </c>
      <c r="B9" s="47">
        <v>1</v>
      </c>
      <c r="C9" s="43" t="s">
        <v>11</v>
      </c>
      <c r="F9" s="54"/>
      <c r="G9" s="6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Z9" s="69">
        <v>7</v>
      </c>
      <c r="AA9" s="70"/>
      <c r="AB9" s="70"/>
      <c r="AC9" s="70"/>
    </row>
    <row r="10" spans="1:29" ht="15.75" x14ac:dyDescent="0.25">
      <c r="A10" s="13" t="s">
        <v>40</v>
      </c>
      <c r="B10" s="47">
        <v>15</v>
      </c>
      <c r="C10" s="43" t="s">
        <v>11</v>
      </c>
      <c r="F10" s="54" t="s">
        <v>26</v>
      </c>
      <c r="G10" s="6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Z10" s="69">
        <v>8</v>
      </c>
      <c r="AA10" s="70"/>
      <c r="AB10" s="70"/>
      <c r="AC10" s="70"/>
    </row>
    <row r="11" spans="1:29" x14ac:dyDescent="0.25">
      <c r="A11" s="12"/>
      <c r="F11" s="54" t="s">
        <v>3</v>
      </c>
      <c r="G11" s="66">
        <v>350</v>
      </c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Z11" s="69">
        <v>9</v>
      </c>
      <c r="AA11" s="70"/>
      <c r="AB11" s="70"/>
      <c r="AC11" s="70"/>
    </row>
    <row r="12" spans="1:29" x14ac:dyDescent="0.25">
      <c r="A12" s="12"/>
      <c r="B12" s="20" t="s">
        <v>14</v>
      </c>
      <c r="C12" s="30" t="s">
        <v>22</v>
      </c>
      <c r="D12" s="6" t="s">
        <v>23</v>
      </c>
      <c r="E12" s="6" t="s">
        <v>25</v>
      </c>
      <c r="F12" s="55" t="s">
        <v>4</v>
      </c>
      <c r="G12" s="66">
        <v>60.65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Z12" s="69">
        <v>10</v>
      </c>
      <c r="AA12" s="70"/>
      <c r="AB12" s="70"/>
      <c r="AC12" s="70"/>
    </row>
    <row r="13" spans="1:29" x14ac:dyDescent="0.25">
      <c r="A13" s="19" t="s">
        <v>15</v>
      </c>
      <c r="B13" s="50">
        <v>0</v>
      </c>
      <c r="C13" s="51" t="s">
        <v>24</v>
      </c>
      <c r="D13" s="52"/>
      <c r="E13" s="53"/>
      <c r="F13" s="55"/>
      <c r="G13" s="66">
        <v>60</v>
      </c>
      <c r="H13" s="11"/>
      <c r="I13" s="11"/>
      <c r="J13" s="11"/>
      <c r="K13" s="11"/>
      <c r="O13" s="11"/>
      <c r="P13" s="11"/>
      <c r="Q13" s="11"/>
      <c r="R13" s="11"/>
      <c r="S13" s="11"/>
      <c r="Z13" s="69">
        <v>11</v>
      </c>
      <c r="AA13" s="70"/>
      <c r="AB13" s="70"/>
      <c r="AC13" s="70"/>
    </row>
    <row r="14" spans="1:29" ht="15.75" thickBot="1" x14ac:dyDescent="0.3">
      <c r="A14" s="21" t="s">
        <v>16</v>
      </c>
      <c r="B14" s="50"/>
      <c r="C14" s="51" t="s">
        <v>21</v>
      </c>
      <c r="D14" s="52"/>
      <c r="E14" s="53"/>
      <c r="F14" s="55" t="s">
        <v>5</v>
      </c>
      <c r="G14" s="6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Z14" s="69">
        <v>12</v>
      </c>
      <c r="AA14" s="70"/>
      <c r="AB14" s="70"/>
      <c r="AC14" s="70"/>
    </row>
    <row r="15" spans="1:29" ht="19.5" thickBot="1" x14ac:dyDescent="0.35">
      <c r="A15" s="21" t="s">
        <v>17</v>
      </c>
      <c r="B15" s="50"/>
      <c r="C15" s="51" t="s">
        <v>21</v>
      </c>
      <c r="D15" s="52"/>
      <c r="E15" s="53"/>
      <c r="F15" s="4" t="s">
        <v>7</v>
      </c>
      <c r="G15" s="56">
        <f>SUM(G4:G14)</f>
        <v>672.86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Z15" s="69">
        <v>13</v>
      </c>
      <c r="AA15" s="70"/>
      <c r="AB15" s="70"/>
      <c r="AC15" s="70"/>
    </row>
    <row r="16" spans="1:29" ht="18.75" x14ac:dyDescent="0.3">
      <c r="A16" s="12"/>
      <c r="B16" s="26">
        <f>SUM(B13:B15)</f>
        <v>0</v>
      </c>
      <c r="F16" s="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Z16" s="69">
        <v>14</v>
      </c>
      <c r="AA16" s="70"/>
      <c r="AB16" s="70"/>
      <c r="AC16" s="70"/>
    </row>
    <row r="17" spans="1:29" ht="19.5" thickBot="1" x14ac:dyDescent="0.35">
      <c r="A17" s="12"/>
      <c r="B17" s="26"/>
      <c r="F17" s="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Z17" s="69">
        <v>15</v>
      </c>
      <c r="AA17" s="70"/>
      <c r="AB17" s="70"/>
      <c r="AC17" s="70"/>
    </row>
    <row r="18" spans="1:29" ht="23.25" x14ac:dyDescent="0.35">
      <c r="A18" s="12"/>
      <c r="B18" s="15" t="s">
        <v>47</v>
      </c>
      <c r="T18" s="24"/>
      <c r="Z18" s="69">
        <v>16</v>
      </c>
      <c r="AA18" s="70"/>
      <c r="AB18" s="70"/>
      <c r="AC18" s="70"/>
    </row>
    <row r="19" spans="1:29" ht="60.75" customHeight="1" thickBot="1" x14ac:dyDescent="0.3">
      <c r="A19" s="35" t="s">
        <v>28</v>
      </c>
      <c r="B19" s="35" t="s">
        <v>9</v>
      </c>
      <c r="C19" s="35" t="s">
        <v>10</v>
      </c>
      <c r="D19" s="35" t="s">
        <v>30</v>
      </c>
      <c r="E19" s="33" t="s">
        <v>13</v>
      </c>
      <c r="F19" s="33" t="s">
        <v>36</v>
      </c>
      <c r="G19" s="36" t="s">
        <v>61</v>
      </c>
      <c r="H19" s="36" t="s">
        <v>35</v>
      </c>
      <c r="I19" s="36" t="s">
        <v>39</v>
      </c>
      <c r="J19" s="36" t="s">
        <v>37</v>
      </c>
      <c r="K19" s="37" t="s">
        <v>31</v>
      </c>
      <c r="L19" s="39" t="s">
        <v>32</v>
      </c>
      <c r="M19" s="36" t="s">
        <v>59</v>
      </c>
      <c r="N19" s="36" t="s">
        <v>50</v>
      </c>
      <c r="O19" s="16" t="s">
        <v>41</v>
      </c>
      <c r="P19" s="16" t="s">
        <v>42</v>
      </c>
      <c r="Q19" s="16" t="s">
        <v>19</v>
      </c>
      <c r="R19" s="16" t="s">
        <v>33</v>
      </c>
      <c r="S19" s="16" t="s">
        <v>45</v>
      </c>
      <c r="T19" s="73" t="s">
        <v>62</v>
      </c>
      <c r="U19" s="16" t="s">
        <v>43</v>
      </c>
      <c r="V19" s="16" t="s">
        <v>44</v>
      </c>
      <c r="Z19" s="69">
        <v>17</v>
      </c>
      <c r="AA19" s="70"/>
      <c r="AB19" s="70"/>
      <c r="AC19" s="70"/>
    </row>
    <row r="20" spans="1:29" x14ac:dyDescent="0.25">
      <c r="A20" s="62" t="s">
        <v>57</v>
      </c>
      <c r="B20" s="63" t="s">
        <v>56</v>
      </c>
      <c r="C20" s="45">
        <v>1000</v>
      </c>
      <c r="D20" s="61">
        <f>IF(C20&lt;&gt;0,+F20/F$35*100,"")</f>
        <v>7.0194384449244058</v>
      </c>
      <c r="E20" s="44">
        <v>0.13</v>
      </c>
      <c r="F20" s="34">
        <f>IF(C20&lt;&gt;0,C20*E20,"")</f>
        <v>130</v>
      </c>
      <c r="G20" s="34">
        <f>IF(C20&lt;&gt;0,+G$15*D20/100,"")</f>
        <v>47.230993520518361</v>
      </c>
      <c r="H20" s="34">
        <f t="shared" ref="H20" si="0">IF(C20&lt;&gt;0,+H$35*$D20/100, "")</f>
        <v>1.3</v>
      </c>
      <c r="I20" s="34">
        <f t="shared" ref="I20" si="1">IF(C20&lt;&gt;0,+I$35*D20/100,"")</f>
        <v>139.72683585313175</v>
      </c>
      <c r="J20" s="34">
        <f>IF(C20&lt;&gt;0,+Tabla136[[#This Row],[Flete]]+Tabla136[[#This Row],[Seguro]]+Tabla136[[#This Row],[FOB UNITARIO]],"")</f>
        <v>271.02683585313173</v>
      </c>
      <c r="K20" s="34">
        <f>IF(C20&lt;&gt;0,+Tabla136[[#This Row],[Valor CIF]]*0.005,"")</f>
        <v>1.3551341792656586</v>
      </c>
      <c r="L20" s="67">
        <f>IF(C20&lt;&gt;0,+(VLOOKUP(A20,Tabla17[[Partida]:[Tasa Advalorem]],3,0))*J20/100,"")</f>
        <v>54.205367170626339</v>
      </c>
      <c r="M20" s="67">
        <f>IF(C20&lt;&gt;0,+Tabla136[[#This Row],[Ad Valorem]]+Tabla136[[#This Row],[Fodinfa]]+Tabla136[[#This Row],[Valor CIF]],"")</f>
        <v>326.58733720302371</v>
      </c>
      <c r="N20" s="67">
        <f>IF(C20&lt;&gt;0,+Tabla136[[#This Row],[BASE PARA EL I.V.A.]]*B$10/100,"")</f>
        <v>48.988100580453555</v>
      </c>
      <c r="O20" s="34">
        <f>IF(C20&lt;&gt;0,+Tabla136[[#This Row],[FOB UNITARIO]]+Tabla136[[#This Row],[Distribucion Gastos Generales]]+Tabla136[[#This Row],[Flete]]+Tabla136[[#This Row],[Fodinfa]]+Tabla136[[#This Row],[Ad Valorem]]+Tabla136[[#This Row],[I.V.A.]],"")</f>
        <v>421.50643130399561</v>
      </c>
      <c r="P20" s="40">
        <f>IF(C20&lt;&gt;0,+Tabla136[[#This Row],[COSTO TOTAL]]/C20,"")</f>
        <v>0.42150643130399562</v>
      </c>
      <c r="Q20" s="48">
        <v>40</v>
      </c>
      <c r="R20" s="40">
        <f>IF(C20&lt;&gt;0,+Tabla136[[#This Row],[COSTO UNITARIO ]]+(Tabla136[[#This Row],[COSTO UNITARIO ]]*Q20/100),"")</f>
        <v>0.59010900382559384</v>
      </c>
      <c r="S20" s="48">
        <v>0.6</v>
      </c>
      <c r="T20" s="34">
        <f>IF(C20&lt;&gt;0,+Tabla136[[#This Row],[COSTO TOTAL]]/O$35*100,"")</f>
        <v>7.9186121810741366</v>
      </c>
      <c r="U20" s="42">
        <f>IF(C20&lt;&gt;0,+C20*Tabla136[[#This Row],[Precio de Venta Calculado]],"")</f>
        <v>590.10900382559385</v>
      </c>
      <c r="V20" s="41">
        <f>IF(C20&lt;&gt;0,+Tabla136[[#This Row],[Venta Total]]-Tabla136[[#This Row],[COSTO TOTAL]],"")</f>
        <v>168.60257252159823</v>
      </c>
      <c r="Z20" s="69">
        <v>18</v>
      </c>
      <c r="AA20" s="70"/>
      <c r="AB20" s="70"/>
      <c r="AC20" s="70"/>
    </row>
    <row r="21" spans="1:29" x14ac:dyDescent="0.25">
      <c r="A21" s="62" t="s">
        <v>57</v>
      </c>
      <c r="B21" s="63" t="s">
        <v>66</v>
      </c>
      <c r="C21" s="45">
        <v>1000</v>
      </c>
      <c r="D21" s="61">
        <f t="shared" ref="D21:D34" si="2">IF(C21&lt;&gt;0,+F21/F$35*100,"")</f>
        <v>16.198704103671709</v>
      </c>
      <c r="E21" s="44">
        <v>0.3</v>
      </c>
      <c r="F21" s="34">
        <f t="shared" ref="F21:F34" si="3">IF(C21&lt;&gt;0,C21*E21,"")</f>
        <v>300</v>
      </c>
      <c r="G21" s="34">
        <f t="shared" ref="G21:G34" si="4">IF(C21&lt;&gt;0,+G$15*D21/100,"")</f>
        <v>108.99460043196547</v>
      </c>
      <c r="H21" s="34">
        <f t="shared" ref="H21:H34" si="5">IF(C21&lt;&gt;0,+H$35*$D21/100, "")</f>
        <v>3.0000000000000004</v>
      </c>
      <c r="I21" s="34">
        <f t="shared" ref="I21:I34" si="6">IF(C21&lt;&gt;0,+I$35*D21/100,"")</f>
        <v>322.44654427645793</v>
      </c>
      <c r="J21" s="34">
        <f>IF(C21&lt;&gt;0,+Tabla136[[#This Row],[Flete]]+Tabla136[[#This Row],[Seguro]]+Tabla136[[#This Row],[FOB UNITARIO]],"")</f>
        <v>625.44654427645787</v>
      </c>
      <c r="K21" s="34">
        <f>IF(C21&lt;&gt;0,+Tabla136[[#This Row],[Valor CIF]]*0.005,"")</f>
        <v>3.1272327213822892</v>
      </c>
      <c r="L21" s="67">
        <f>IF(C21&lt;&gt;0,+(VLOOKUP(A21,Tabla17[[Partida]:[Tasa Advalorem]],3,0))*J21/100,"")</f>
        <v>125.08930885529156</v>
      </c>
      <c r="M21" s="67">
        <f>IF(C21&lt;&gt;0,+Tabla136[[#This Row],[Ad Valorem]]+Tabla136[[#This Row],[Fodinfa]]+Tabla136[[#This Row],[Valor CIF]],"")</f>
        <v>753.66308585313175</v>
      </c>
      <c r="N21" s="67">
        <f>IF(C21&lt;&gt;0,+Tabla136[[#This Row],[BASE PARA EL I.V.A.]]*B$10/100,"")</f>
        <v>113.04946287796976</v>
      </c>
      <c r="O21" s="34">
        <f>IF(C21&lt;&gt;0,+Tabla136[[#This Row],[FOB UNITARIO]]+Tabla136[[#This Row],[Distribucion Gastos Generales]]+Tabla136[[#This Row],[Flete]]+Tabla136[[#This Row],[Fodinfa]]+Tabla136[[#This Row],[Ad Valorem]]+Tabla136[[#This Row],[I.V.A.]],"")</f>
        <v>972.70714916306702</v>
      </c>
      <c r="P21" s="40">
        <f>IF(C21&lt;&gt;0,+Tabla136[[#This Row],[COSTO TOTAL]]/C21,"")</f>
        <v>0.972707149163067</v>
      </c>
      <c r="Q21" s="48">
        <v>50</v>
      </c>
      <c r="R21" s="40">
        <f>IF(C21&lt;&gt;0,+Tabla136[[#This Row],[COSTO UNITARIO ]]+(Tabla136[[#This Row],[COSTO UNITARIO ]]*Q21/100),"")</f>
        <v>1.4590607237446005</v>
      </c>
      <c r="S21" s="48">
        <v>1.5</v>
      </c>
      <c r="T21" s="34">
        <f>IF(C21&lt;&gt;0,+Tabla136[[#This Row],[COSTO TOTAL]]/O$35*100,"")</f>
        <v>18.273720417863395</v>
      </c>
      <c r="U21" s="42">
        <f>IF(C21&lt;&gt;0,+C21*Tabla136[[#This Row],[Precio de Venta Calculado]],"")</f>
        <v>1459.0607237446004</v>
      </c>
      <c r="V21" s="41">
        <f>IF(C21&lt;&gt;0,+Tabla136[[#This Row],[Venta Total]]-Tabla136[[#This Row],[COSTO TOTAL]],"")</f>
        <v>486.35357458153339</v>
      </c>
      <c r="Z21" s="69">
        <v>19</v>
      </c>
      <c r="AA21" s="70"/>
      <c r="AB21" s="70"/>
      <c r="AC21" s="70"/>
    </row>
    <row r="22" spans="1:29" x14ac:dyDescent="0.25">
      <c r="A22" s="62" t="s">
        <v>29</v>
      </c>
      <c r="B22" s="63" t="s">
        <v>64</v>
      </c>
      <c r="C22" s="45">
        <v>5000</v>
      </c>
      <c r="D22" s="61">
        <f t="shared" si="2"/>
        <v>67.494600431965452</v>
      </c>
      <c r="E22" s="44">
        <v>0.25</v>
      </c>
      <c r="F22" s="34">
        <f t="shared" si="3"/>
        <v>1250</v>
      </c>
      <c r="G22" s="34">
        <f t="shared" si="4"/>
        <v>454.14416846652273</v>
      </c>
      <c r="H22" s="34">
        <f t="shared" si="5"/>
        <v>12.500000000000002</v>
      </c>
      <c r="I22" s="34">
        <f t="shared" si="6"/>
        <v>1343.5272678185747</v>
      </c>
      <c r="J22" s="34">
        <f>IF(C22&lt;&gt;0,+Tabla136[[#This Row],[Flete]]+Tabla136[[#This Row],[Seguro]]+Tabla136[[#This Row],[FOB UNITARIO]],"")</f>
        <v>2606.0272678185747</v>
      </c>
      <c r="K22" s="34">
        <f>IF(C22&lt;&gt;0,+Tabla136[[#This Row],[Valor CIF]]*0.005,"")</f>
        <v>13.030136339092873</v>
      </c>
      <c r="L22" s="67">
        <f>IF(C22&lt;&gt;0,+(VLOOKUP(A22,Tabla17[[Partida]:[Tasa Advalorem]],3,0))*J22/100,"")</f>
        <v>0</v>
      </c>
      <c r="M22" s="67">
        <f>IF(C22&lt;&gt;0,+Tabla136[[#This Row],[Ad Valorem]]+Tabla136[[#This Row],[Fodinfa]]+Tabla136[[#This Row],[Valor CIF]],"")</f>
        <v>2619.0574041576674</v>
      </c>
      <c r="N22" s="67">
        <f>IF(C22&lt;&gt;0,+Tabla136[[#This Row],[BASE PARA EL I.V.A.]]*B$10/100,"")</f>
        <v>392.85861062365007</v>
      </c>
      <c r="O22" s="34">
        <f>IF(C22&lt;&gt;0,+Tabla136[[#This Row],[FOB UNITARIO]]+Tabla136[[#This Row],[Distribucion Gastos Generales]]+Tabla136[[#This Row],[Flete]]+Tabla136[[#This Row],[Fodinfa]]+Tabla136[[#This Row],[Ad Valorem]]+Tabla136[[#This Row],[I.V.A.]],"")</f>
        <v>3453.5601832478405</v>
      </c>
      <c r="P22" s="40">
        <f>IF(C22&lt;&gt;0,+Tabla136[[#This Row],[COSTO TOTAL]]/C22,"")</f>
        <v>0.69071203664956815</v>
      </c>
      <c r="Q22" s="48">
        <v>50</v>
      </c>
      <c r="R22" s="40">
        <f>IF(C22&lt;&gt;0,+Tabla136[[#This Row],[COSTO UNITARIO ]]+(Tabla136[[#This Row],[COSTO UNITARIO ]]*Q22/100),"")</f>
        <v>1.0360680549743522</v>
      </c>
      <c r="S22" s="48">
        <v>1.25</v>
      </c>
      <c r="T22" s="34">
        <f>IF(C22&lt;&gt;0,+Tabla136[[#This Row],[COSTO TOTAL]]/O$35*100,"")</f>
        <v>64.880157701355913</v>
      </c>
      <c r="U22" s="42">
        <f>IF(C22&lt;&gt;0,+C22*Tabla136[[#This Row],[Precio de Venta Calculado]],"")</f>
        <v>5180.3402748717608</v>
      </c>
      <c r="V22" s="41">
        <f>IF(C22&lt;&gt;0,+Tabla136[[#This Row],[Venta Total]]-Tabla136[[#This Row],[COSTO TOTAL]],"")</f>
        <v>1726.7800916239203</v>
      </c>
      <c r="Z22" s="69">
        <v>20</v>
      </c>
      <c r="AA22" s="70"/>
      <c r="AB22" s="70"/>
      <c r="AC22" s="70"/>
    </row>
    <row r="23" spans="1:29" x14ac:dyDescent="0.25">
      <c r="A23" s="62" t="s">
        <v>29</v>
      </c>
      <c r="B23" s="63" t="s">
        <v>63</v>
      </c>
      <c r="C23" s="45">
        <v>1000</v>
      </c>
      <c r="D23" s="61">
        <f t="shared" si="2"/>
        <v>9.2872570194384458</v>
      </c>
      <c r="E23" s="44">
        <v>0.17199999999999999</v>
      </c>
      <c r="F23" s="34">
        <f t="shared" si="3"/>
        <v>172</v>
      </c>
      <c r="G23" s="34">
        <f t="shared" si="4"/>
        <v>62.490237580993522</v>
      </c>
      <c r="H23" s="34">
        <f t="shared" si="5"/>
        <v>1.72</v>
      </c>
      <c r="I23" s="34">
        <f t="shared" si="6"/>
        <v>184.86935205183585</v>
      </c>
      <c r="J23" s="34">
        <f>IF(C23&lt;&gt;0,+Tabla136[[#This Row],[Flete]]+Tabla136[[#This Row],[Seguro]]+Tabla136[[#This Row],[FOB UNITARIO]],"")</f>
        <v>358.58935205183582</v>
      </c>
      <c r="K23" s="34">
        <f>IF(C23&lt;&gt;0,+Tabla136[[#This Row],[Valor CIF]]*0.005,"")</f>
        <v>1.7929467602591791</v>
      </c>
      <c r="L23" s="67">
        <f>IF(C23&lt;&gt;0,+(VLOOKUP(A23,Tabla17[[Partida]:[Tasa Advalorem]],3,0))*J23/100,"")</f>
        <v>0</v>
      </c>
      <c r="M23" s="67">
        <f>IF(C23&lt;&gt;0,+Tabla136[[#This Row],[Ad Valorem]]+Tabla136[[#This Row],[Fodinfa]]+Tabla136[[#This Row],[Valor CIF]],"")</f>
        <v>360.38229881209497</v>
      </c>
      <c r="N23" s="67">
        <f>IF(C23&lt;&gt;0,+Tabla136[[#This Row],[BASE PARA EL I.V.A.]]*B$10/100,"")</f>
        <v>54.057344821814247</v>
      </c>
      <c r="O23" s="34">
        <f>IF(C23&lt;&gt;0,+Tabla136[[#This Row],[FOB UNITARIO]]+Tabla136[[#This Row],[Distribucion Gastos Generales]]+Tabla136[[#This Row],[Flete]]+Tabla136[[#This Row],[Fodinfa]]+Tabla136[[#This Row],[Ad Valorem]]+Tabla136[[#This Row],[I.V.A.]],"")</f>
        <v>475.20988121490279</v>
      </c>
      <c r="P23" s="40">
        <f>IF(C23&lt;&gt;0,+Tabla136[[#This Row],[COSTO TOTAL]]/C23,"")</f>
        <v>0.47520988121490282</v>
      </c>
      <c r="Q23" s="48">
        <v>50</v>
      </c>
      <c r="R23" s="40">
        <f>IF(C23&lt;&gt;0,+Tabla136[[#This Row],[COSTO UNITARIO ]]+(Tabla136[[#This Row],[COSTO UNITARIO ]]*Q23/100),"")</f>
        <v>0.71281482182235423</v>
      </c>
      <c r="S23" s="48">
        <v>0.75</v>
      </c>
      <c r="T23" s="34">
        <f>IF(C23&lt;&gt;0,+Tabla136[[#This Row],[COSTO TOTAL]]/O$35*100,"")</f>
        <v>8.9275096997065724</v>
      </c>
      <c r="U23" s="42">
        <f>IF(C23&lt;&gt;0,+C23*Tabla136[[#This Row],[Precio de Venta Calculado]],"")</f>
        <v>712.81482182235425</v>
      </c>
      <c r="V23" s="41">
        <f>IF(C23&lt;&gt;0,+Tabla136[[#This Row],[Venta Total]]-Tabla136[[#This Row],[COSTO TOTAL]],"")</f>
        <v>237.60494060745145</v>
      </c>
      <c r="Z23" s="69">
        <v>21</v>
      </c>
      <c r="AA23" s="70"/>
      <c r="AB23" s="70"/>
      <c r="AC23" s="70"/>
    </row>
    <row r="24" spans="1:29" x14ac:dyDescent="0.25">
      <c r="A24" s="64"/>
      <c r="B24" s="63"/>
      <c r="C24" s="45"/>
      <c r="D24" s="61" t="str">
        <f t="shared" si="2"/>
        <v/>
      </c>
      <c r="E24" s="44"/>
      <c r="F24" s="34" t="str">
        <f t="shared" si="3"/>
        <v/>
      </c>
      <c r="G24" s="34" t="str">
        <f t="shared" si="4"/>
        <v/>
      </c>
      <c r="H24" s="34" t="str">
        <f t="shared" si="5"/>
        <v/>
      </c>
      <c r="I24" s="34" t="str">
        <f t="shared" si="6"/>
        <v/>
      </c>
      <c r="J24" s="34" t="str">
        <f>IF(C24&lt;&gt;0,+Tabla136[[#This Row],[Flete]]+Tabla136[[#This Row],[Seguro]]+Tabla136[[#This Row],[FOB UNITARIO]],"")</f>
        <v/>
      </c>
      <c r="K24" s="34" t="str">
        <f>IF(C24&lt;&gt;0,+Tabla136[[#This Row],[Valor CIF]]*0.005,"")</f>
        <v/>
      </c>
      <c r="L24" s="67" t="str">
        <f>IF(C24&lt;&gt;0,+(VLOOKUP(A24,Tabla17[[Partida]:[Tasa Advalorem]],3,0))*J24/100,"")</f>
        <v/>
      </c>
      <c r="M24" s="67" t="str">
        <f>IF(C24&lt;&gt;0,+Tabla136[[#This Row],[Ad Valorem]]+Tabla136[[#This Row],[Fodinfa]]+Tabla136[[#This Row],[Valor CIF]],"")</f>
        <v/>
      </c>
      <c r="N24" s="67" t="str">
        <f>IF(C24&lt;&gt;0,+Tabla136[[#This Row],[BASE PARA EL I.V.A.]]*B$10/100,"")</f>
        <v/>
      </c>
      <c r="O24" s="34" t="str">
        <f>IF(C24&lt;&gt;0,+Tabla136[[#This Row],[FOB UNITARIO]]+Tabla136[[#This Row],[Distribucion Gastos Generales]]+Tabla136[[#This Row],[Flete]]+Tabla136[[#This Row],[Fodinfa]]+Tabla136[[#This Row],[Ad Valorem]]+Tabla136[[#This Row],[I.V.A.]],"")</f>
        <v/>
      </c>
      <c r="P24" s="40" t="str">
        <f>IF(C24&lt;&gt;0,+Tabla136[[#This Row],[COSTO TOTAL]]/C24,"")</f>
        <v/>
      </c>
      <c r="Q24" s="49"/>
      <c r="R24" s="40" t="str">
        <f>IF(C24&lt;&gt;0,+Tabla136[[#This Row],[COSTO UNITARIO ]]+(Tabla136[[#This Row],[COSTO UNITARIO ]]*Q24/100),"")</f>
        <v/>
      </c>
      <c r="S24" s="48"/>
      <c r="T24" s="34" t="str">
        <f>IF(C24&lt;&gt;0,+Tabla136[[#This Row],[COSTO TOTAL]]/O$35*100,"")</f>
        <v/>
      </c>
      <c r="U24" s="42" t="str">
        <f>IF(C24&lt;&gt;0,+C24*Tabla136[[#This Row],[Precio de Venta Calculado]],"")</f>
        <v/>
      </c>
      <c r="V24" s="41" t="str">
        <f>IF(C24&lt;&gt;0,+Tabla136[[#This Row],[Venta Total]]-Tabla136[[#This Row],[COSTO TOTAL]],"")</f>
        <v/>
      </c>
      <c r="Z24" s="69">
        <v>22</v>
      </c>
      <c r="AA24" s="70"/>
      <c r="AB24" s="70"/>
      <c r="AC24" s="70"/>
    </row>
    <row r="25" spans="1:29" x14ac:dyDescent="0.25">
      <c r="A25" s="64"/>
      <c r="B25" s="63"/>
      <c r="C25" s="45"/>
      <c r="D25" s="61" t="str">
        <f t="shared" si="2"/>
        <v/>
      </c>
      <c r="E25" s="44"/>
      <c r="F25" s="34" t="str">
        <f t="shared" si="3"/>
        <v/>
      </c>
      <c r="G25" s="34" t="str">
        <f t="shared" si="4"/>
        <v/>
      </c>
      <c r="H25" s="34" t="str">
        <f t="shared" si="5"/>
        <v/>
      </c>
      <c r="I25" s="34" t="str">
        <f t="shared" si="6"/>
        <v/>
      </c>
      <c r="J25" s="34" t="str">
        <f>IF(C25&lt;&gt;0,+Tabla136[[#This Row],[Flete]]+Tabla136[[#This Row],[Seguro]]+Tabla136[[#This Row],[FOB UNITARIO]],"")</f>
        <v/>
      </c>
      <c r="K25" s="34" t="str">
        <f>IF(C25&lt;&gt;0,+Tabla136[[#This Row],[Valor CIF]]*0.005,"")</f>
        <v/>
      </c>
      <c r="L25" s="67" t="str">
        <f>IF(C25&lt;&gt;0,+(VLOOKUP(A25,Tabla17[[Partida]:[Tasa Advalorem]],3,0))*J25/100,"")</f>
        <v/>
      </c>
      <c r="M25" s="67" t="str">
        <f>IF(C25&lt;&gt;0,+Tabla136[[#This Row],[Ad Valorem]]+Tabla136[[#This Row],[Fodinfa]]+Tabla136[[#This Row],[Valor CIF]],"")</f>
        <v/>
      </c>
      <c r="N25" s="67" t="str">
        <f>IF(C25&lt;&gt;0,+Tabla136[[#This Row],[BASE PARA EL I.V.A.]]*B$10/100,"")</f>
        <v/>
      </c>
      <c r="O25" s="34" t="str">
        <f>IF(C25&lt;&gt;0,+Tabla136[[#This Row],[FOB UNITARIO]]+Tabla136[[#This Row],[Distribucion Gastos Generales]]+Tabla136[[#This Row],[Flete]]+Tabla136[[#This Row],[Fodinfa]]+Tabla136[[#This Row],[Ad Valorem]]+Tabla136[[#This Row],[I.V.A.]],"")</f>
        <v/>
      </c>
      <c r="P25" s="40" t="str">
        <f>IF(C25&lt;&gt;0,+Tabla136[[#This Row],[COSTO TOTAL]]/C25,"")</f>
        <v/>
      </c>
      <c r="Q25" s="49"/>
      <c r="R25" s="40" t="str">
        <f>IF(C25&lt;&gt;0,+Tabla136[[#This Row],[COSTO UNITARIO ]]+(Tabla136[[#This Row],[COSTO UNITARIO ]]*Q25/100),"")</f>
        <v/>
      </c>
      <c r="S25" s="48"/>
      <c r="T25" s="34" t="str">
        <f>IF(C25&lt;&gt;0,+Tabla136[[#This Row],[COSTO TOTAL]]/O$35*100,"")</f>
        <v/>
      </c>
      <c r="U25" s="42" t="str">
        <f>IF(C25&lt;&gt;0,+C25*Tabla136[[#This Row],[Precio de Venta Calculado]],"")</f>
        <v/>
      </c>
      <c r="V25" s="41" t="str">
        <f>IF(C25&lt;&gt;0,+Tabla136[[#This Row],[Venta Total]]-Tabla136[[#This Row],[COSTO TOTAL]],"")</f>
        <v/>
      </c>
      <c r="Z25" s="69">
        <v>23</v>
      </c>
      <c r="AA25" s="70"/>
      <c r="AB25" s="70"/>
      <c r="AC25" s="70"/>
    </row>
    <row r="26" spans="1:29" x14ac:dyDescent="0.25">
      <c r="A26" s="64"/>
      <c r="B26" s="63"/>
      <c r="C26" s="45"/>
      <c r="D26" s="61" t="str">
        <f t="shared" si="2"/>
        <v/>
      </c>
      <c r="E26" s="44"/>
      <c r="F26" s="34" t="str">
        <f t="shared" si="3"/>
        <v/>
      </c>
      <c r="G26" s="34" t="str">
        <f t="shared" si="4"/>
        <v/>
      </c>
      <c r="H26" s="34" t="str">
        <f t="shared" si="5"/>
        <v/>
      </c>
      <c r="I26" s="34" t="str">
        <f t="shared" si="6"/>
        <v/>
      </c>
      <c r="J26" s="34" t="str">
        <f>IF(C26&lt;&gt;0,+Tabla136[[#This Row],[Flete]]+Tabla136[[#This Row],[Seguro]]+Tabla136[[#This Row],[FOB UNITARIO]],"")</f>
        <v/>
      </c>
      <c r="K26" s="34" t="str">
        <f>IF(C26&lt;&gt;0,+Tabla136[[#This Row],[Valor CIF]]*0.005,"")</f>
        <v/>
      </c>
      <c r="L26" s="67" t="str">
        <f>IF(C26&lt;&gt;0,+(VLOOKUP(A26,Tabla17[[Partida]:[Tasa Advalorem]],3,0))*J26/100,"")</f>
        <v/>
      </c>
      <c r="M26" s="67" t="str">
        <f>IF(C26&lt;&gt;0,+Tabla136[[#This Row],[Ad Valorem]]+Tabla136[[#This Row],[Fodinfa]]+Tabla136[[#This Row],[Valor CIF]],"")</f>
        <v/>
      </c>
      <c r="N26" s="67" t="str">
        <f>IF(C26&lt;&gt;0,+Tabla136[[#This Row],[BASE PARA EL I.V.A.]]*B$10/100,"")</f>
        <v/>
      </c>
      <c r="O26" s="34" t="str">
        <f>IF(C26&lt;&gt;0,+Tabla136[[#This Row],[FOB UNITARIO]]+Tabla136[[#This Row],[Distribucion Gastos Generales]]+Tabla136[[#This Row],[Flete]]+Tabla136[[#This Row],[Fodinfa]]+Tabla136[[#This Row],[Ad Valorem]]+Tabla136[[#This Row],[I.V.A.]],"")</f>
        <v/>
      </c>
      <c r="P26" s="40" t="str">
        <f>IF(C26&lt;&gt;0,+Tabla136[[#This Row],[COSTO TOTAL]]/C26,"")</f>
        <v/>
      </c>
      <c r="Q26" s="49"/>
      <c r="R26" s="40" t="str">
        <f>IF(C26&lt;&gt;0,+Tabla136[[#This Row],[COSTO UNITARIO ]]+(Tabla136[[#This Row],[COSTO UNITARIO ]]*Q26/100),"")</f>
        <v/>
      </c>
      <c r="S26" s="48"/>
      <c r="T26" s="34" t="str">
        <f>IF(C26&lt;&gt;0,+Tabla136[[#This Row],[COSTO TOTAL]]/O$35*100,"")</f>
        <v/>
      </c>
      <c r="U26" s="42" t="str">
        <f>IF(C26&lt;&gt;0,+C26*Tabla136[[#This Row],[Precio de Venta Calculado]],"")</f>
        <v/>
      </c>
      <c r="V26" s="41" t="str">
        <f>IF(C26&lt;&gt;0,+Tabla136[[#This Row],[Venta Total]]-Tabla136[[#This Row],[COSTO TOTAL]],"")</f>
        <v/>
      </c>
      <c r="Z26" s="69">
        <v>24</v>
      </c>
      <c r="AA26" s="70"/>
      <c r="AB26" s="70"/>
      <c r="AC26" s="70"/>
    </row>
    <row r="27" spans="1:29" x14ac:dyDescent="0.25">
      <c r="A27" s="64"/>
      <c r="B27" s="63"/>
      <c r="C27" s="45"/>
      <c r="D27" s="61" t="str">
        <f t="shared" si="2"/>
        <v/>
      </c>
      <c r="E27" s="44"/>
      <c r="F27" s="34" t="str">
        <f t="shared" si="3"/>
        <v/>
      </c>
      <c r="G27" s="34" t="str">
        <f t="shared" si="4"/>
        <v/>
      </c>
      <c r="H27" s="34" t="str">
        <f t="shared" si="5"/>
        <v/>
      </c>
      <c r="I27" s="34" t="str">
        <f t="shared" si="6"/>
        <v/>
      </c>
      <c r="J27" s="34" t="str">
        <f>IF(C27&lt;&gt;0,+Tabla136[[#This Row],[Flete]]+Tabla136[[#This Row],[Seguro]]+Tabla136[[#This Row],[FOB UNITARIO]],"")</f>
        <v/>
      </c>
      <c r="K27" s="34" t="str">
        <f>IF(C27&lt;&gt;0,+Tabla136[[#This Row],[Valor CIF]]*0.005,"")</f>
        <v/>
      </c>
      <c r="L27" s="67" t="str">
        <f>IF(C27&lt;&gt;0,+(VLOOKUP(A27,Tabla17[[Partida]:[Tasa Advalorem]],3,0))*J27/100,"")</f>
        <v/>
      </c>
      <c r="M27" s="67" t="str">
        <f>IF(C27&lt;&gt;0,+Tabla136[[#This Row],[Ad Valorem]]+Tabla136[[#This Row],[Fodinfa]]+Tabla136[[#This Row],[Valor CIF]],"")</f>
        <v/>
      </c>
      <c r="N27" s="67" t="str">
        <f>IF(C27&lt;&gt;0,+Tabla136[[#This Row],[BASE PARA EL I.V.A.]]*B$10/100,"")</f>
        <v/>
      </c>
      <c r="O27" s="34" t="str">
        <f>IF(C27&lt;&gt;0,+Tabla136[[#This Row],[FOB UNITARIO]]+Tabla136[[#This Row],[Distribucion Gastos Generales]]+Tabla136[[#This Row],[Flete]]+Tabla136[[#This Row],[Fodinfa]]+Tabla136[[#This Row],[Ad Valorem]]+Tabla136[[#This Row],[I.V.A.]],"")</f>
        <v/>
      </c>
      <c r="P27" s="40" t="str">
        <f>IF(C27&lt;&gt;0,+Tabla136[[#This Row],[COSTO TOTAL]]/C27,"")</f>
        <v/>
      </c>
      <c r="Q27" s="49"/>
      <c r="R27" s="40" t="str">
        <f>IF(C27&lt;&gt;0,+Tabla136[[#This Row],[COSTO UNITARIO ]]+(Tabla136[[#This Row],[COSTO UNITARIO ]]*Q27/100),"")</f>
        <v/>
      </c>
      <c r="S27" s="48"/>
      <c r="T27" s="34" t="str">
        <f>IF(C27&lt;&gt;0,+Tabla136[[#This Row],[COSTO TOTAL]]/O$35*100,"")</f>
        <v/>
      </c>
      <c r="U27" s="42" t="str">
        <f>IF(C27&lt;&gt;0,+C27*Tabla136[[#This Row],[Precio de Venta Calculado]],"")</f>
        <v/>
      </c>
      <c r="V27" s="41" t="str">
        <f>IF(C27&lt;&gt;0,+Tabla136[[#This Row],[Venta Total]]-Tabla136[[#This Row],[COSTO TOTAL]],"")</f>
        <v/>
      </c>
      <c r="Z27" s="69">
        <v>25</v>
      </c>
      <c r="AA27" s="70"/>
      <c r="AB27" s="70"/>
      <c r="AC27" s="70"/>
    </row>
    <row r="28" spans="1:29" x14ac:dyDescent="0.25">
      <c r="A28" s="64"/>
      <c r="B28" s="63"/>
      <c r="C28" s="45"/>
      <c r="D28" s="61" t="str">
        <f t="shared" si="2"/>
        <v/>
      </c>
      <c r="E28" s="44"/>
      <c r="F28" s="34" t="str">
        <f t="shared" si="3"/>
        <v/>
      </c>
      <c r="G28" s="34" t="str">
        <f t="shared" si="4"/>
        <v/>
      </c>
      <c r="H28" s="34" t="str">
        <f t="shared" si="5"/>
        <v/>
      </c>
      <c r="I28" s="34" t="str">
        <f t="shared" si="6"/>
        <v/>
      </c>
      <c r="J28" s="34" t="str">
        <f>IF(C28&lt;&gt;0,+Tabla136[[#This Row],[Flete]]+Tabla136[[#This Row],[Seguro]]+Tabla136[[#This Row],[FOB UNITARIO]],"")</f>
        <v/>
      </c>
      <c r="K28" s="34" t="str">
        <f>IF(C28&lt;&gt;0,+Tabla136[[#This Row],[Valor CIF]]*0.005,"")</f>
        <v/>
      </c>
      <c r="L28" s="67" t="str">
        <f>IF(C28&lt;&gt;0,+(VLOOKUP(A28,Tabla17[[Partida]:[Tasa Advalorem]],3,0))*J28/100,"")</f>
        <v/>
      </c>
      <c r="M28" s="67" t="str">
        <f>IF(C28&lt;&gt;0,+Tabla136[[#This Row],[Ad Valorem]]+Tabla136[[#This Row],[Fodinfa]]+Tabla136[[#This Row],[Valor CIF]],"")</f>
        <v/>
      </c>
      <c r="N28" s="67" t="str">
        <f>IF(C28&lt;&gt;0,+Tabla136[[#This Row],[BASE PARA EL I.V.A.]]*B$10/100,"")</f>
        <v/>
      </c>
      <c r="O28" s="34" t="str">
        <f>IF(C28&lt;&gt;0,+Tabla136[[#This Row],[FOB UNITARIO]]+Tabla136[[#This Row],[Distribucion Gastos Generales]]+Tabla136[[#This Row],[Flete]]+Tabla136[[#This Row],[Fodinfa]]+Tabla136[[#This Row],[Ad Valorem]]+Tabla136[[#This Row],[I.V.A.]],"")</f>
        <v/>
      </c>
      <c r="P28" s="40" t="str">
        <f>IF(C28&lt;&gt;0,+Tabla136[[#This Row],[COSTO TOTAL]]/C28,"")</f>
        <v/>
      </c>
      <c r="Q28" s="49"/>
      <c r="R28" s="40" t="str">
        <f>IF(C28&lt;&gt;0,+Tabla136[[#This Row],[COSTO UNITARIO ]]+(Tabla136[[#This Row],[COSTO UNITARIO ]]*Q28/100),"")</f>
        <v/>
      </c>
      <c r="S28" s="48"/>
      <c r="T28" s="34" t="str">
        <f>IF(C28&lt;&gt;0,+Tabla136[[#This Row],[COSTO TOTAL]]/O$35*100,"")</f>
        <v/>
      </c>
      <c r="U28" s="42" t="str">
        <f>IF(C28&lt;&gt;0,+C28*Tabla136[[#This Row],[Precio de Venta Calculado]],"")</f>
        <v/>
      </c>
      <c r="V28" s="41" t="str">
        <f>IF(C28&lt;&gt;0,+Tabla136[[#This Row],[Venta Total]]-Tabla136[[#This Row],[COSTO TOTAL]],"")</f>
        <v/>
      </c>
      <c r="Z28" s="69">
        <v>26</v>
      </c>
      <c r="AA28" s="70"/>
      <c r="AB28" s="70"/>
      <c r="AC28" s="70"/>
    </row>
    <row r="29" spans="1:29" x14ac:dyDescent="0.25">
      <c r="A29" s="64"/>
      <c r="B29" s="63"/>
      <c r="C29" s="45"/>
      <c r="D29" s="61" t="str">
        <f t="shared" si="2"/>
        <v/>
      </c>
      <c r="E29" s="44"/>
      <c r="F29" s="34" t="str">
        <f t="shared" si="3"/>
        <v/>
      </c>
      <c r="G29" s="34" t="str">
        <f t="shared" si="4"/>
        <v/>
      </c>
      <c r="H29" s="34" t="str">
        <f t="shared" si="5"/>
        <v/>
      </c>
      <c r="I29" s="34" t="str">
        <f t="shared" si="6"/>
        <v/>
      </c>
      <c r="J29" s="34" t="str">
        <f>IF(C29&lt;&gt;0,+Tabla136[[#This Row],[Flete]]+Tabla136[[#This Row],[Seguro]]+Tabla136[[#This Row],[FOB UNITARIO]],"")</f>
        <v/>
      </c>
      <c r="K29" s="34" t="str">
        <f>IF(C29&lt;&gt;0,+Tabla136[[#This Row],[Valor CIF]]*0.005,"")</f>
        <v/>
      </c>
      <c r="L29" s="67" t="str">
        <f>IF(C29&lt;&gt;0,+(VLOOKUP(A29,Tabla17[[Partida]:[Tasa Advalorem]],3,0))*J29/100,"")</f>
        <v/>
      </c>
      <c r="M29" s="67" t="str">
        <f>IF(C29&lt;&gt;0,+Tabla136[[#This Row],[Ad Valorem]]+Tabla136[[#This Row],[Fodinfa]]+Tabla136[[#This Row],[Valor CIF]],"")</f>
        <v/>
      </c>
      <c r="N29" s="67" t="str">
        <f>IF(C29&lt;&gt;0,+Tabla136[[#This Row],[BASE PARA EL I.V.A.]]*B$10/100,"")</f>
        <v/>
      </c>
      <c r="O29" s="34" t="str">
        <f>IF(C29&lt;&gt;0,+Tabla136[[#This Row],[FOB UNITARIO]]+Tabla136[[#This Row],[Distribucion Gastos Generales]]+Tabla136[[#This Row],[Flete]]+Tabla136[[#This Row],[Fodinfa]]+Tabla136[[#This Row],[Ad Valorem]]+Tabla136[[#This Row],[I.V.A.]],"")</f>
        <v/>
      </c>
      <c r="P29" s="40" t="str">
        <f>IF(C29&lt;&gt;0,+Tabla136[[#This Row],[COSTO TOTAL]]/C29,"")</f>
        <v/>
      </c>
      <c r="Q29" s="49"/>
      <c r="R29" s="40" t="str">
        <f>IF(C29&lt;&gt;0,+Tabla136[[#This Row],[COSTO UNITARIO ]]+(Tabla136[[#This Row],[COSTO UNITARIO ]]*Q29/100),"")</f>
        <v/>
      </c>
      <c r="S29" s="48"/>
      <c r="T29" s="34" t="str">
        <f>IF(C29&lt;&gt;0,+Tabla136[[#This Row],[COSTO TOTAL]]/O$35*100,"")</f>
        <v/>
      </c>
      <c r="U29" s="42" t="str">
        <f>IF(C29&lt;&gt;0,+C29*Tabla136[[#This Row],[Precio de Venta Calculado]],"")</f>
        <v/>
      </c>
      <c r="V29" s="41" t="str">
        <f>IF(C29&lt;&gt;0,+Tabla136[[#This Row],[Venta Total]]-Tabla136[[#This Row],[COSTO TOTAL]],"")</f>
        <v/>
      </c>
      <c r="Z29" s="69">
        <v>27</v>
      </c>
      <c r="AA29" s="70"/>
      <c r="AB29" s="70"/>
      <c r="AC29" s="70"/>
    </row>
    <row r="30" spans="1:29" x14ac:dyDescent="0.25">
      <c r="A30" s="64"/>
      <c r="B30" s="63"/>
      <c r="C30" s="45"/>
      <c r="D30" s="61" t="str">
        <f t="shared" si="2"/>
        <v/>
      </c>
      <c r="E30" s="44"/>
      <c r="F30" s="34" t="str">
        <f t="shared" si="3"/>
        <v/>
      </c>
      <c r="G30" s="34" t="str">
        <f t="shared" si="4"/>
        <v/>
      </c>
      <c r="H30" s="34" t="str">
        <f t="shared" si="5"/>
        <v/>
      </c>
      <c r="I30" s="34" t="str">
        <f t="shared" si="6"/>
        <v/>
      </c>
      <c r="J30" s="34" t="str">
        <f>IF(C30&lt;&gt;0,+Tabla136[[#This Row],[Flete]]+Tabla136[[#This Row],[Seguro]]+Tabla136[[#This Row],[FOB UNITARIO]],"")</f>
        <v/>
      </c>
      <c r="K30" s="34" t="str">
        <f>IF(C30&lt;&gt;0,+Tabla136[[#This Row],[Valor CIF]]*0.005,"")</f>
        <v/>
      </c>
      <c r="L30" s="67" t="str">
        <f>IF(C30&lt;&gt;0,+(VLOOKUP(A30,Tabla17[[Partida]:[Tasa Advalorem]],3,0))*J30/100,"")</f>
        <v/>
      </c>
      <c r="M30" s="67" t="str">
        <f>IF(C30&lt;&gt;0,+Tabla136[[#This Row],[Ad Valorem]]+Tabla136[[#This Row],[Fodinfa]]+Tabla136[[#This Row],[Valor CIF]],"")</f>
        <v/>
      </c>
      <c r="N30" s="67" t="str">
        <f>IF(C30&lt;&gt;0,+Tabla136[[#This Row],[BASE PARA EL I.V.A.]]*B$10/100,"")</f>
        <v/>
      </c>
      <c r="O30" s="34" t="str">
        <f>IF(C30&lt;&gt;0,+Tabla136[[#This Row],[FOB UNITARIO]]+Tabla136[[#This Row],[Distribucion Gastos Generales]]+Tabla136[[#This Row],[Flete]]+Tabla136[[#This Row],[Fodinfa]]+Tabla136[[#This Row],[Ad Valorem]]+Tabla136[[#This Row],[I.V.A.]],"")</f>
        <v/>
      </c>
      <c r="P30" s="40" t="str">
        <f>IF(C30&lt;&gt;0,+Tabla136[[#This Row],[COSTO TOTAL]]/C30,"")</f>
        <v/>
      </c>
      <c r="Q30" s="49"/>
      <c r="R30" s="40" t="str">
        <f>IF(C30&lt;&gt;0,+Tabla136[[#This Row],[COSTO UNITARIO ]]+(Tabla136[[#This Row],[COSTO UNITARIO ]]*Q30/100),"")</f>
        <v/>
      </c>
      <c r="S30" s="48"/>
      <c r="T30" s="34" t="str">
        <f>IF(C30&lt;&gt;0,+Tabla136[[#This Row],[COSTO TOTAL]]/O$35*100,"")</f>
        <v/>
      </c>
      <c r="U30" s="42" t="str">
        <f>IF(C30&lt;&gt;0,+C30*Tabla136[[#This Row],[Precio de Venta Calculado]],"")</f>
        <v/>
      </c>
      <c r="V30" s="41" t="str">
        <f>IF(C30&lt;&gt;0,+Tabla136[[#This Row],[Venta Total]]-Tabla136[[#This Row],[COSTO TOTAL]],"")</f>
        <v/>
      </c>
      <c r="Z30" s="69">
        <v>28</v>
      </c>
      <c r="AA30" s="70"/>
      <c r="AB30" s="70"/>
      <c r="AC30" s="70"/>
    </row>
    <row r="31" spans="1:29" x14ac:dyDescent="0.25">
      <c r="A31" s="64"/>
      <c r="B31" s="63"/>
      <c r="C31" s="45"/>
      <c r="D31" s="61" t="str">
        <f t="shared" si="2"/>
        <v/>
      </c>
      <c r="E31" s="44"/>
      <c r="F31" s="34" t="str">
        <f t="shared" si="3"/>
        <v/>
      </c>
      <c r="G31" s="34" t="str">
        <f t="shared" si="4"/>
        <v/>
      </c>
      <c r="H31" s="34" t="str">
        <f t="shared" si="5"/>
        <v/>
      </c>
      <c r="I31" s="34" t="str">
        <f t="shared" si="6"/>
        <v/>
      </c>
      <c r="J31" s="34" t="str">
        <f>IF(C31&lt;&gt;0,+Tabla136[[#This Row],[Flete]]+Tabla136[[#This Row],[Seguro]]+Tabla136[[#This Row],[FOB UNITARIO]],"")</f>
        <v/>
      </c>
      <c r="K31" s="34" t="str">
        <f>IF(C31&lt;&gt;0,+Tabla136[[#This Row],[Valor CIF]]*0.005,"")</f>
        <v/>
      </c>
      <c r="L31" s="67" t="str">
        <f>IF(C31&lt;&gt;0,+(VLOOKUP(A31,Tabla17[[Partida]:[Tasa Advalorem]],3,0))*J31/100,"")</f>
        <v/>
      </c>
      <c r="M31" s="67" t="str">
        <f>IF(C31&lt;&gt;0,+Tabla136[[#This Row],[Ad Valorem]]+Tabla136[[#This Row],[Fodinfa]]+Tabla136[[#This Row],[Valor CIF]],"")</f>
        <v/>
      </c>
      <c r="N31" s="67" t="str">
        <f>IF(C31&lt;&gt;0,+Tabla136[[#This Row],[BASE PARA EL I.V.A.]]*B$10/100,"")</f>
        <v/>
      </c>
      <c r="O31" s="34" t="str">
        <f>IF(C31&lt;&gt;0,+Tabla136[[#This Row],[FOB UNITARIO]]+Tabla136[[#This Row],[Distribucion Gastos Generales]]+Tabla136[[#This Row],[Flete]]+Tabla136[[#This Row],[Fodinfa]]+Tabla136[[#This Row],[Ad Valorem]]+Tabla136[[#This Row],[I.V.A.]],"")</f>
        <v/>
      </c>
      <c r="P31" s="40" t="str">
        <f>IF(C31&lt;&gt;0,+Tabla136[[#This Row],[COSTO TOTAL]]/C31,"")</f>
        <v/>
      </c>
      <c r="Q31" s="49"/>
      <c r="R31" s="40" t="str">
        <f>IF(C31&lt;&gt;0,+Tabla136[[#This Row],[COSTO UNITARIO ]]+(Tabla136[[#This Row],[COSTO UNITARIO ]]*Q31/100),"")</f>
        <v/>
      </c>
      <c r="S31" s="48"/>
      <c r="T31" s="34" t="str">
        <f>IF(C31&lt;&gt;0,+Tabla136[[#This Row],[COSTO TOTAL]]/O$35*100,"")</f>
        <v/>
      </c>
      <c r="U31" s="42" t="str">
        <f>IF(C31&lt;&gt;0,+C31*Tabla136[[#This Row],[Precio de Venta Calculado]],"")</f>
        <v/>
      </c>
      <c r="V31" s="41" t="str">
        <f>IF(C31&lt;&gt;0,+Tabla136[[#This Row],[Venta Total]]-Tabla136[[#This Row],[COSTO TOTAL]],"")</f>
        <v/>
      </c>
      <c r="Z31" s="69">
        <v>29</v>
      </c>
      <c r="AA31" s="70"/>
      <c r="AB31" s="70"/>
      <c r="AC31" s="70"/>
    </row>
    <row r="32" spans="1:29" x14ac:dyDescent="0.25">
      <c r="A32" s="64"/>
      <c r="B32" s="63"/>
      <c r="C32" s="45"/>
      <c r="D32" s="61" t="str">
        <f t="shared" si="2"/>
        <v/>
      </c>
      <c r="E32" s="44"/>
      <c r="F32" s="34" t="str">
        <f t="shared" si="3"/>
        <v/>
      </c>
      <c r="G32" s="34" t="str">
        <f t="shared" si="4"/>
        <v/>
      </c>
      <c r="H32" s="34" t="str">
        <f t="shared" si="5"/>
        <v/>
      </c>
      <c r="I32" s="34" t="str">
        <f t="shared" si="6"/>
        <v/>
      </c>
      <c r="J32" s="34" t="str">
        <f>IF(C32&lt;&gt;0,+Tabla136[[#This Row],[Flete]]+Tabla136[[#This Row],[Seguro]]+Tabla136[[#This Row],[FOB UNITARIO]],"")</f>
        <v/>
      </c>
      <c r="K32" s="34" t="str">
        <f>IF(C32&lt;&gt;0,+Tabla136[[#This Row],[Valor CIF]]*0.005,"")</f>
        <v/>
      </c>
      <c r="L32" s="67" t="str">
        <f>IF(C32&lt;&gt;0,+(VLOOKUP(A32,Tabla17[[Partida]:[Tasa Advalorem]],3,0))*J32/100,"")</f>
        <v/>
      </c>
      <c r="M32" s="67" t="str">
        <f>IF(C32&lt;&gt;0,+Tabla136[[#This Row],[Ad Valorem]]+Tabla136[[#This Row],[Fodinfa]]+Tabla136[[#This Row],[Valor CIF]],"")</f>
        <v/>
      </c>
      <c r="N32" s="67" t="str">
        <f>IF(C32&lt;&gt;0,+Tabla136[[#This Row],[BASE PARA EL I.V.A.]]*B$10/100,"")</f>
        <v/>
      </c>
      <c r="O32" s="34" t="str">
        <f>IF(C32&lt;&gt;0,+Tabla136[[#This Row],[FOB UNITARIO]]+Tabla136[[#This Row],[Distribucion Gastos Generales]]+Tabla136[[#This Row],[Flete]]+Tabla136[[#This Row],[Fodinfa]]+Tabla136[[#This Row],[Ad Valorem]]+Tabla136[[#This Row],[I.V.A.]],"")</f>
        <v/>
      </c>
      <c r="P32" s="40" t="str">
        <f>IF(C32&lt;&gt;0,+Tabla136[[#This Row],[COSTO TOTAL]]/C32,"")</f>
        <v/>
      </c>
      <c r="Q32" s="49"/>
      <c r="R32" s="40" t="str">
        <f>IF(C32&lt;&gt;0,+Tabla136[[#This Row],[COSTO UNITARIO ]]+(Tabla136[[#This Row],[COSTO UNITARIO ]]*Q32/100),"")</f>
        <v/>
      </c>
      <c r="S32" s="48"/>
      <c r="T32" s="34" t="str">
        <f>IF(C32&lt;&gt;0,+Tabla136[[#This Row],[COSTO TOTAL]]/O$35*100,"")</f>
        <v/>
      </c>
      <c r="U32" s="42" t="str">
        <f>IF(C32&lt;&gt;0,+C32*Tabla136[[#This Row],[Precio de Venta Calculado]],"")</f>
        <v/>
      </c>
      <c r="V32" s="41" t="str">
        <f>IF(C32&lt;&gt;0,+Tabla136[[#This Row],[Venta Total]]-Tabla136[[#This Row],[COSTO TOTAL]],"")</f>
        <v/>
      </c>
      <c r="Z32" s="69">
        <v>30</v>
      </c>
      <c r="AA32" s="70"/>
      <c r="AB32" s="70"/>
      <c r="AC32" s="70"/>
    </row>
    <row r="33" spans="1:29" x14ac:dyDescent="0.25">
      <c r="A33" s="64"/>
      <c r="B33" s="63"/>
      <c r="C33" s="45"/>
      <c r="D33" s="61" t="str">
        <f t="shared" si="2"/>
        <v/>
      </c>
      <c r="E33" s="44"/>
      <c r="F33" s="34" t="str">
        <f t="shared" si="3"/>
        <v/>
      </c>
      <c r="G33" s="34" t="str">
        <f t="shared" si="4"/>
        <v/>
      </c>
      <c r="H33" s="34" t="str">
        <f t="shared" si="5"/>
        <v/>
      </c>
      <c r="I33" s="34" t="str">
        <f t="shared" si="6"/>
        <v/>
      </c>
      <c r="J33" s="34" t="str">
        <f>IF(C33&lt;&gt;0,+Tabla136[[#This Row],[Flete]]+Tabla136[[#This Row],[Seguro]]+Tabla136[[#This Row],[FOB UNITARIO]],"")</f>
        <v/>
      </c>
      <c r="K33" s="34" t="str">
        <f>IF(C33&lt;&gt;0,+Tabla136[[#This Row],[Valor CIF]]*0.005,"")</f>
        <v/>
      </c>
      <c r="L33" s="67" t="str">
        <f>IF(C33&lt;&gt;0,+(VLOOKUP(A33,Tabla17[[Partida]:[Tasa Advalorem]],3,0))*J33/100,"")</f>
        <v/>
      </c>
      <c r="M33" s="67" t="str">
        <f>IF(C33&lt;&gt;0,+Tabla136[[#This Row],[Ad Valorem]]+Tabla136[[#This Row],[Fodinfa]]+Tabla136[[#This Row],[Valor CIF]],"")</f>
        <v/>
      </c>
      <c r="N33" s="67" t="str">
        <f>IF(C33&lt;&gt;0,+Tabla136[[#This Row],[BASE PARA EL I.V.A.]]*B$10/100,"")</f>
        <v/>
      </c>
      <c r="O33" s="34" t="str">
        <f>IF(C33&lt;&gt;0,+Tabla136[[#This Row],[FOB UNITARIO]]+Tabla136[[#This Row],[Distribucion Gastos Generales]]+Tabla136[[#This Row],[Flete]]+Tabla136[[#This Row],[Fodinfa]]+Tabla136[[#This Row],[Ad Valorem]]+Tabla136[[#This Row],[I.V.A.]],"")</f>
        <v/>
      </c>
      <c r="P33" s="40" t="str">
        <f>IF(C33&lt;&gt;0,+Tabla136[[#This Row],[COSTO TOTAL]]/C33,"")</f>
        <v/>
      </c>
      <c r="Q33" s="49"/>
      <c r="R33" s="40" t="str">
        <f>IF(C33&lt;&gt;0,+Tabla136[[#This Row],[COSTO UNITARIO ]]+(Tabla136[[#This Row],[COSTO UNITARIO ]]*Q33/100),"")</f>
        <v/>
      </c>
      <c r="S33" s="48"/>
      <c r="T33" s="34" t="str">
        <f>IF(C33&lt;&gt;0,+Tabla136[[#This Row],[COSTO TOTAL]]/O$35*100,"")</f>
        <v/>
      </c>
      <c r="U33" s="42" t="str">
        <f>IF(C33&lt;&gt;0,+C33*Tabla136[[#This Row],[Precio de Venta Calculado]],"")</f>
        <v/>
      </c>
      <c r="V33" s="41" t="str">
        <f>IF(C33&lt;&gt;0,+Tabla136[[#This Row],[Venta Total]]-Tabla136[[#This Row],[COSTO TOTAL]],"")</f>
        <v/>
      </c>
      <c r="Z33" s="69">
        <v>31</v>
      </c>
      <c r="AA33" s="70"/>
      <c r="AB33" s="70"/>
      <c r="AC33" s="70"/>
    </row>
    <row r="34" spans="1:29" x14ac:dyDescent="0.25">
      <c r="A34" s="64"/>
      <c r="B34" s="63"/>
      <c r="C34" s="45"/>
      <c r="D34" s="61" t="str">
        <f t="shared" si="2"/>
        <v/>
      </c>
      <c r="E34" s="44"/>
      <c r="F34" s="34" t="str">
        <f t="shared" si="3"/>
        <v/>
      </c>
      <c r="G34" s="34" t="str">
        <f t="shared" si="4"/>
        <v/>
      </c>
      <c r="H34" s="34" t="str">
        <f t="shared" si="5"/>
        <v/>
      </c>
      <c r="I34" s="34" t="str">
        <f t="shared" si="6"/>
        <v/>
      </c>
      <c r="J34" s="34" t="str">
        <f>IF(C34&lt;&gt;0,+Tabla136[[#This Row],[Flete]]+Tabla136[[#This Row],[Seguro]]+Tabla136[[#This Row],[FOB UNITARIO]],"")</f>
        <v/>
      </c>
      <c r="K34" s="34" t="str">
        <f>IF(C34&lt;&gt;0,+Tabla136[[#This Row],[Valor CIF]]*0.005,"")</f>
        <v/>
      </c>
      <c r="L34" s="67" t="str">
        <f>IF(C34&lt;&gt;0,+(VLOOKUP(A34,Tabla17[[Partida]:[Tasa Advalorem]],3,0))*J34/100,"")</f>
        <v/>
      </c>
      <c r="M34" s="67" t="str">
        <f>IF(C34&lt;&gt;0,+Tabla136[[#This Row],[Ad Valorem]]+Tabla136[[#This Row],[Fodinfa]]+Tabla136[[#This Row],[Valor CIF]],"")</f>
        <v/>
      </c>
      <c r="N34" s="67" t="str">
        <f>IF(C34&lt;&gt;0,+Tabla136[[#This Row],[BASE PARA EL I.V.A.]]*B$10/100,"")</f>
        <v/>
      </c>
      <c r="O34" s="34" t="str">
        <f>IF(C34&lt;&gt;0,+Tabla136[[#This Row],[FOB UNITARIO]]+Tabla136[[#This Row],[Distribucion Gastos Generales]]+Tabla136[[#This Row],[Flete]]+Tabla136[[#This Row],[Fodinfa]]+Tabla136[[#This Row],[Ad Valorem]]+Tabla136[[#This Row],[I.V.A.]],"")</f>
        <v/>
      </c>
      <c r="P34" s="40" t="str">
        <f>IF(C34&lt;&gt;0,+Tabla136[[#This Row],[COSTO TOTAL]]/C34,"")</f>
        <v/>
      </c>
      <c r="Q34" s="49"/>
      <c r="R34" s="40" t="str">
        <f>IF(C34&lt;&gt;0,+Tabla136[[#This Row],[COSTO UNITARIO ]]+(Tabla136[[#This Row],[COSTO UNITARIO ]]*Q34/100),"")</f>
        <v/>
      </c>
      <c r="S34" s="48"/>
      <c r="T34" s="34" t="str">
        <f>IF(C34&lt;&gt;0,+Tabla136[[#This Row],[COSTO TOTAL]]/O$35*100,"")</f>
        <v/>
      </c>
      <c r="U34" s="42" t="str">
        <f>IF(C34&lt;&gt;0,+C34*Tabla136[[#This Row],[Precio de Venta Calculado]],"")</f>
        <v/>
      </c>
      <c r="V34" s="41" t="str">
        <f>IF(C34&lt;&gt;0,+Tabla136[[#This Row],[Venta Total]]-Tabla136[[#This Row],[COSTO TOTAL]],"")</f>
        <v/>
      </c>
      <c r="Z34" s="69">
        <v>32</v>
      </c>
      <c r="AA34" s="70"/>
      <c r="AB34" s="70"/>
      <c r="AC34" s="70"/>
    </row>
    <row r="35" spans="1:29" ht="21" x14ac:dyDescent="0.35">
      <c r="A35" s="12"/>
      <c r="B35" s="15" t="s">
        <v>46</v>
      </c>
      <c r="D35" s="74">
        <f>SUM(D20:D34)</f>
        <v>100</v>
      </c>
      <c r="E35" s="22" t="s">
        <v>8</v>
      </c>
      <c r="F35" s="17">
        <f>SUM(F20:F34)</f>
        <v>1852</v>
      </c>
      <c r="G35" s="17">
        <f>SUBTOTAL(109,Tabla136[Distribucion Gastos Generales])</f>
        <v>672.86</v>
      </c>
      <c r="H35" s="17">
        <f>+B4*B9/100</f>
        <v>18.52</v>
      </c>
      <c r="I35" s="46">
        <v>1990.57</v>
      </c>
      <c r="J35" s="17">
        <f>SUM(H35:I35)</f>
        <v>2009.09</v>
      </c>
      <c r="K35" s="17">
        <f>SUBTOTAL(109,Tabla136[Fodinfa])</f>
        <v>19.305450000000004</v>
      </c>
      <c r="L35" s="17">
        <f>SUBTOTAL(109,Tabla136[Ad Valorem])</f>
        <v>179.29467602591791</v>
      </c>
      <c r="M35" s="17">
        <f>SUBTOTAL(109,Tabla136[BASE PARA EL I.V.A.])</f>
        <v>4059.6901260259178</v>
      </c>
      <c r="N35" s="17">
        <f>SUBTOTAL(109,Tabla136[I.V.A.])</f>
        <v>608.95351890388758</v>
      </c>
      <c r="O35" s="17">
        <f>SUBTOTAL(109,Tabla136[COSTO TOTAL])</f>
        <v>5322.9836449298055</v>
      </c>
      <c r="P35" s="17"/>
      <c r="Q35" s="17"/>
      <c r="R35" s="17"/>
      <c r="S35" s="17"/>
      <c r="T35" s="38">
        <f>SUBTOTAL(109,Tabla136[Porcentaje de Gasto])</f>
        <v>100.00000000000003</v>
      </c>
      <c r="U35" s="38">
        <f>SUM(Tabla136[Venta Total])</f>
        <v>7942.3248242643094</v>
      </c>
      <c r="V35" s="38">
        <f>SUBTOTAL(109,Tabla136[Utilidad de la Importacion])</f>
        <v>2619.3411793345031</v>
      </c>
      <c r="Z35" s="69">
        <v>33</v>
      </c>
      <c r="AA35" s="70"/>
      <c r="AB35" s="70"/>
      <c r="AC35" s="70"/>
    </row>
    <row r="36" spans="1:29" ht="21" x14ac:dyDescent="0.35">
      <c r="A36" s="12"/>
      <c r="C36" s="31"/>
      <c r="D36" s="23"/>
      <c r="F36" s="18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Z36" s="69">
        <v>34</v>
      </c>
      <c r="AA36" s="70"/>
      <c r="AB36" s="70"/>
      <c r="AC36" s="70"/>
    </row>
    <row r="37" spans="1:29" x14ac:dyDescent="0.25">
      <c r="A37" s="12"/>
      <c r="Z37" s="69">
        <v>35</v>
      </c>
      <c r="AA37" s="70"/>
      <c r="AB37" s="70"/>
      <c r="AC37" s="70"/>
    </row>
    <row r="38" spans="1:29" x14ac:dyDescent="0.25">
      <c r="D38" s="72"/>
      <c r="I38" s="29"/>
      <c r="J38" s="22"/>
      <c r="Z38" s="69">
        <v>41</v>
      </c>
      <c r="AA38" s="70"/>
      <c r="AB38" s="70"/>
      <c r="AC38" s="70"/>
    </row>
    <row r="39" spans="1:29" x14ac:dyDescent="0.25">
      <c r="I39" s="29"/>
      <c r="J39" s="22"/>
      <c r="Z39" s="69">
        <v>42</v>
      </c>
      <c r="AA39" s="70"/>
      <c r="AB39" s="70"/>
      <c r="AC39" s="70"/>
    </row>
    <row r="40" spans="1:29" x14ac:dyDescent="0.25">
      <c r="I40" s="29"/>
      <c r="J40" s="72"/>
      <c r="Z40" s="69">
        <v>43</v>
      </c>
      <c r="AA40" s="70"/>
      <c r="AB40" s="70"/>
      <c r="AC40" s="70"/>
    </row>
    <row r="41" spans="1:29" x14ac:dyDescent="0.25">
      <c r="Z41" s="69">
        <v>44</v>
      </c>
      <c r="AA41" s="70"/>
      <c r="AB41" s="70"/>
      <c r="AC41" s="70"/>
    </row>
    <row r="42" spans="1:29" x14ac:dyDescent="0.25">
      <c r="Z42" s="69">
        <v>45</v>
      </c>
      <c r="AA42" s="70"/>
      <c r="AB42" s="70"/>
      <c r="AC42" s="70"/>
    </row>
    <row r="43" spans="1:29" x14ac:dyDescent="0.25">
      <c r="Z43" s="69">
        <v>46</v>
      </c>
      <c r="AA43" s="70"/>
      <c r="AB43" s="70"/>
      <c r="AC43" s="70"/>
    </row>
    <row r="44" spans="1:29" x14ac:dyDescent="0.25">
      <c r="Z44" s="69">
        <v>47</v>
      </c>
      <c r="AA44" s="70"/>
      <c r="AB44" s="70"/>
      <c r="AC44" s="70"/>
    </row>
    <row r="45" spans="1:29" x14ac:dyDescent="0.25">
      <c r="Z45" s="69">
        <v>48</v>
      </c>
      <c r="AA45" s="70"/>
      <c r="AB45" s="70"/>
      <c r="AC45" s="70"/>
    </row>
    <row r="46" spans="1:29" x14ac:dyDescent="0.25">
      <c r="Z46" s="69">
        <v>49</v>
      </c>
      <c r="AA46" s="70"/>
      <c r="AB46" s="70"/>
      <c r="AC46" s="70"/>
    </row>
    <row r="47" spans="1:29" x14ac:dyDescent="0.25">
      <c r="Z47" s="69">
        <v>50</v>
      </c>
      <c r="AA47" s="70"/>
      <c r="AB47" s="70"/>
      <c r="AC47" s="70"/>
    </row>
    <row r="48" spans="1:29" x14ac:dyDescent="0.25">
      <c r="Z48" s="69">
        <v>51</v>
      </c>
      <c r="AA48" s="70"/>
      <c r="AB48" s="70"/>
      <c r="AC48" s="70"/>
    </row>
    <row r="49" spans="26:29" x14ac:dyDescent="0.25">
      <c r="Z49" s="69">
        <v>52</v>
      </c>
      <c r="AA49" s="70"/>
      <c r="AB49" s="70"/>
      <c r="AC49" s="70"/>
    </row>
    <row r="50" spans="26:29" x14ac:dyDescent="0.25">
      <c r="Z50" s="69">
        <v>53</v>
      </c>
      <c r="AA50" s="70"/>
      <c r="AB50" s="70"/>
      <c r="AC50" s="70"/>
    </row>
    <row r="51" spans="26:29" x14ac:dyDescent="0.25">
      <c r="Z51" s="69">
        <v>54</v>
      </c>
      <c r="AA51" s="70"/>
      <c r="AB51" s="70"/>
      <c r="AC51" s="70"/>
    </row>
    <row r="52" spans="26:29" x14ac:dyDescent="0.25">
      <c r="Z52" s="69">
        <v>55</v>
      </c>
      <c r="AA52" s="70"/>
      <c r="AB52" s="70"/>
      <c r="AC52" s="70"/>
    </row>
    <row r="53" spans="26:29" x14ac:dyDescent="0.25">
      <c r="Z53" s="69">
        <v>56</v>
      </c>
      <c r="AA53" s="70"/>
      <c r="AB53" s="70"/>
      <c r="AC53" s="70"/>
    </row>
    <row r="54" spans="26:29" x14ac:dyDescent="0.25">
      <c r="Z54" s="69">
        <v>57</v>
      </c>
      <c r="AA54" s="70"/>
      <c r="AB54" s="70"/>
      <c r="AC54" s="70"/>
    </row>
    <row r="55" spans="26:29" x14ac:dyDescent="0.25">
      <c r="Z55" s="69">
        <v>58</v>
      </c>
      <c r="AA55" s="70"/>
      <c r="AB55" s="70"/>
      <c r="AC55" s="70"/>
    </row>
    <row r="56" spans="26:29" x14ac:dyDescent="0.25">
      <c r="Z56" s="69">
        <v>59</v>
      </c>
      <c r="AA56" s="70"/>
      <c r="AB56" s="70"/>
      <c r="AC56" s="70"/>
    </row>
    <row r="57" spans="26:29" x14ac:dyDescent="0.25">
      <c r="Z57" s="69">
        <v>60</v>
      </c>
      <c r="AA57" s="70"/>
      <c r="AB57" s="70"/>
      <c r="AC57" s="70"/>
    </row>
    <row r="58" spans="26:29" x14ac:dyDescent="0.25">
      <c r="Z58" s="69">
        <v>61</v>
      </c>
      <c r="AA58" s="70"/>
      <c r="AB58" s="70"/>
      <c r="AC58" s="70"/>
    </row>
    <row r="59" spans="26:29" x14ac:dyDescent="0.25">
      <c r="Z59" s="69">
        <v>62</v>
      </c>
      <c r="AA59" s="70"/>
      <c r="AB59" s="70"/>
      <c r="AC59" s="70"/>
    </row>
    <row r="60" spans="26:29" x14ac:dyDescent="0.25">
      <c r="Z60" s="69">
        <v>63</v>
      </c>
      <c r="AA60" s="70"/>
      <c r="AB60" s="70"/>
      <c r="AC60" s="70"/>
    </row>
    <row r="61" spans="26:29" x14ac:dyDescent="0.25">
      <c r="Z61" s="69">
        <v>64</v>
      </c>
      <c r="AA61" s="70"/>
      <c r="AB61" s="70"/>
      <c r="AC61" s="70"/>
    </row>
    <row r="62" spans="26:29" x14ac:dyDescent="0.25">
      <c r="Z62" s="69">
        <v>65</v>
      </c>
      <c r="AA62" s="70"/>
      <c r="AB62" s="70"/>
      <c r="AC62" s="70"/>
    </row>
    <row r="63" spans="26:29" x14ac:dyDescent="0.25">
      <c r="Z63" s="69">
        <v>66</v>
      </c>
      <c r="AA63" s="70"/>
      <c r="AB63" s="70"/>
      <c r="AC63" s="70"/>
    </row>
    <row r="64" spans="26:29" x14ac:dyDescent="0.25">
      <c r="Z64" s="69">
        <v>67</v>
      </c>
      <c r="AA64" s="70"/>
      <c r="AB64" s="70"/>
      <c r="AC64" s="70"/>
    </row>
    <row r="65" spans="26:29" x14ac:dyDescent="0.25">
      <c r="Z65" s="69">
        <v>68</v>
      </c>
      <c r="AA65" s="70"/>
      <c r="AB65" s="70"/>
      <c r="AC65" s="70"/>
    </row>
    <row r="66" spans="26:29" x14ac:dyDescent="0.25">
      <c r="Z66" s="69">
        <v>69</v>
      </c>
      <c r="AA66" s="70"/>
      <c r="AB66" s="70"/>
      <c r="AC66" s="70"/>
    </row>
    <row r="67" spans="26:29" x14ac:dyDescent="0.25">
      <c r="Z67" s="69">
        <v>70</v>
      </c>
      <c r="AA67" s="70"/>
      <c r="AB67" s="70"/>
      <c r="AC67" s="70"/>
    </row>
    <row r="68" spans="26:29" x14ac:dyDescent="0.25">
      <c r="Z68" s="69">
        <v>71</v>
      </c>
      <c r="AA68" s="70"/>
      <c r="AB68" s="70"/>
      <c r="AC68" s="70"/>
    </row>
    <row r="69" spans="26:29" x14ac:dyDescent="0.25">
      <c r="Z69" s="69">
        <v>72</v>
      </c>
      <c r="AA69" s="70"/>
      <c r="AB69" s="70"/>
      <c r="AC69" s="70"/>
    </row>
    <row r="70" spans="26:29" x14ac:dyDescent="0.25">
      <c r="Z70" s="69">
        <v>73</v>
      </c>
      <c r="AA70" s="70"/>
      <c r="AB70" s="70"/>
      <c r="AC70" s="70"/>
    </row>
    <row r="71" spans="26:29" x14ac:dyDescent="0.25">
      <c r="Z71" s="69">
        <v>74</v>
      </c>
      <c r="AA71" s="70"/>
      <c r="AB71" s="70"/>
      <c r="AC71" s="70"/>
    </row>
    <row r="72" spans="26:29" x14ac:dyDescent="0.25">
      <c r="Z72" s="69">
        <v>75</v>
      </c>
      <c r="AA72" s="70"/>
      <c r="AB72" s="70"/>
      <c r="AC72" s="70"/>
    </row>
    <row r="73" spans="26:29" x14ac:dyDescent="0.25">
      <c r="Z73" s="69">
        <v>76</v>
      </c>
      <c r="AA73" s="70"/>
      <c r="AB73" s="70"/>
      <c r="AC73" s="70"/>
    </row>
    <row r="74" spans="26:29" x14ac:dyDescent="0.25">
      <c r="Z74" s="69">
        <v>77</v>
      </c>
      <c r="AA74" s="70"/>
      <c r="AB74" s="70"/>
      <c r="AC74" s="70"/>
    </row>
    <row r="75" spans="26:29" x14ac:dyDescent="0.25">
      <c r="Z75" s="69">
        <v>78</v>
      </c>
      <c r="AA75" s="70"/>
      <c r="AB75" s="70"/>
      <c r="AC75" s="70"/>
    </row>
    <row r="76" spans="26:29" x14ac:dyDescent="0.25">
      <c r="Z76" s="69">
        <v>79</v>
      </c>
      <c r="AA76" s="70"/>
      <c r="AB76" s="70"/>
      <c r="AC76" s="70"/>
    </row>
    <row r="77" spans="26:29" x14ac:dyDescent="0.25">
      <c r="Z77" s="69">
        <v>80</v>
      </c>
      <c r="AA77" s="70"/>
      <c r="AB77" s="70"/>
      <c r="AC77" s="70"/>
    </row>
    <row r="78" spans="26:29" x14ac:dyDescent="0.25">
      <c r="Z78" s="69">
        <v>81</v>
      </c>
      <c r="AA78" s="70"/>
      <c r="AB78" s="70"/>
      <c r="AC78" s="70"/>
    </row>
    <row r="79" spans="26:29" x14ac:dyDescent="0.25">
      <c r="Z79" s="69">
        <v>82</v>
      </c>
      <c r="AA79" s="70"/>
      <c r="AB79" s="70"/>
      <c r="AC79" s="70"/>
    </row>
    <row r="80" spans="26:29" x14ac:dyDescent="0.25">
      <c r="Z80" s="69">
        <v>83</v>
      </c>
      <c r="AA80" s="70"/>
      <c r="AB80" s="70"/>
      <c r="AC80" s="70"/>
    </row>
    <row r="81" spans="26:29" x14ac:dyDescent="0.25">
      <c r="Z81" s="69">
        <v>84</v>
      </c>
      <c r="AA81" s="70"/>
      <c r="AB81" s="70"/>
      <c r="AC81" s="70"/>
    </row>
    <row r="82" spans="26:29" x14ac:dyDescent="0.25">
      <c r="Z82" s="69">
        <v>85</v>
      </c>
      <c r="AA82" s="70"/>
      <c r="AB82" s="70"/>
      <c r="AC82" s="70"/>
    </row>
    <row r="83" spans="26:29" x14ac:dyDescent="0.25">
      <c r="Z83" s="69">
        <v>86</v>
      </c>
      <c r="AA83" s="70"/>
      <c r="AB83" s="70"/>
      <c r="AC83" s="70"/>
    </row>
    <row r="84" spans="26:29" x14ac:dyDescent="0.25">
      <c r="Z84" s="69">
        <v>87</v>
      </c>
      <c r="AA84" s="70"/>
      <c r="AB84" s="70"/>
      <c r="AC84" s="70"/>
    </row>
    <row r="85" spans="26:29" x14ac:dyDescent="0.25">
      <c r="Z85" s="69">
        <v>88</v>
      </c>
      <c r="AA85" s="70"/>
      <c r="AB85" s="70"/>
      <c r="AC85" s="70"/>
    </row>
    <row r="86" spans="26:29" x14ac:dyDescent="0.25">
      <c r="Z86" s="69">
        <v>89</v>
      </c>
      <c r="AA86" s="70"/>
      <c r="AB86" s="70"/>
      <c r="AC86" s="70"/>
    </row>
    <row r="87" spans="26:29" x14ac:dyDescent="0.25">
      <c r="Z87" s="69">
        <v>90</v>
      </c>
      <c r="AA87" s="70"/>
      <c r="AB87" s="70"/>
      <c r="AC87" s="70"/>
    </row>
    <row r="88" spans="26:29" x14ac:dyDescent="0.25">
      <c r="Z88" s="69">
        <v>91</v>
      </c>
      <c r="AA88" s="70"/>
      <c r="AB88" s="70"/>
      <c r="AC88" s="70"/>
    </row>
    <row r="89" spans="26:29" x14ac:dyDescent="0.25">
      <c r="Z89" s="69">
        <v>92</v>
      </c>
      <c r="AA89" s="70"/>
      <c r="AB89" s="70"/>
      <c r="AC89" s="70"/>
    </row>
    <row r="90" spans="26:29" x14ac:dyDescent="0.25">
      <c r="Z90" s="69">
        <v>93</v>
      </c>
      <c r="AA90" s="70"/>
      <c r="AB90" s="70"/>
      <c r="AC90" s="70"/>
    </row>
    <row r="91" spans="26:29" x14ac:dyDescent="0.25">
      <c r="Z91" s="69">
        <v>94</v>
      </c>
      <c r="AA91" s="70"/>
      <c r="AB91" s="70"/>
      <c r="AC91" s="70"/>
    </row>
    <row r="92" spans="26:29" x14ac:dyDescent="0.25">
      <c r="Z92" s="69">
        <v>95</v>
      </c>
      <c r="AA92" s="70"/>
      <c r="AB92" s="70"/>
      <c r="AC92" s="70"/>
    </row>
    <row r="93" spans="26:29" x14ac:dyDescent="0.25">
      <c r="Z93" s="69">
        <v>96</v>
      </c>
      <c r="AA93" s="70"/>
      <c r="AB93" s="70"/>
      <c r="AC93" s="70"/>
    </row>
    <row r="94" spans="26:29" x14ac:dyDescent="0.25">
      <c r="Z94" s="69">
        <v>97</v>
      </c>
      <c r="AA94" s="70"/>
      <c r="AB94" s="70"/>
      <c r="AC94" s="70"/>
    </row>
    <row r="95" spans="26:29" x14ac:dyDescent="0.25">
      <c r="Z95" s="69">
        <v>98</v>
      </c>
      <c r="AA95" s="70"/>
      <c r="AB95" s="70"/>
      <c r="AC95" s="70"/>
    </row>
    <row r="96" spans="26:29" x14ac:dyDescent="0.25">
      <c r="Z96" s="69">
        <v>99</v>
      </c>
      <c r="AA96" s="70"/>
      <c r="AB96" s="70"/>
      <c r="AC96" s="70"/>
    </row>
    <row r="97" spans="26:29" x14ac:dyDescent="0.25">
      <c r="Z97" s="69">
        <v>100</v>
      </c>
      <c r="AA97" s="70"/>
      <c r="AB97" s="70"/>
      <c r="AC97" s="70"/>
    </row>
    <row r="98" spans="26:29" x14ac:dyDescent="0.25">
      <c r="Z98" s="69">
        <v>101</v>
      </c>
      <c r="AA98" s="70"/>
      <c r="AB98" s="70"/>
      <c r="AC98" s="70"/>
    </row>
    <row r="99" spans="26:29" x14ac:dyDescent="0.25">
      <c r="Z99" s="69">
        <v>102</v>
      </c>
      <c r="AA99" s="70"/>
      <c r="AB99" s="70"/>
      <c r="AC99" s="70"/>
    </row>
    <row r="100" spans="26:29" x14ac:dyDescent="0.25">
      <c r="Z100" s="69">
        <v>103</v>
      </c>
      <c r="AA100" s="70"/>
      <c r="AB100" s="70"/>
      <c r="AC100" s="70"/>
    </row>
    <row r="101" spans="26:29" x14ac:dyDescent="0.25">
      <c r="Z101" s="69">
        <v>104</v>
      </c>
      <c r="AA101" s="70"/>
      <c r="AB101" s="70"/>
      <c r="AC101" s="70"/>
    </row>
    <row r="102" spans="26:29" x14ac:dyDescent="0.25">
      <c r="Z102" s="69">
        <v>105</v>
      </c>
      <c r="AA102" s="70"/>
      <c r="AB102" s="70"/>
      <c r="AC102" s="70"/>
    </row>
    <row r="103" spans="26:29" x14ac:dyDescent="0.25">
      <c r="Z103" s="69">
        <v>106</v>
      </c>
      <c r="AA103" s="70"/>
      <c r="AB103" s="70"/>
      <c r="AC103" s="70"/>
    </row>
    <row r="104" spans="26:29" x14ac:dyDescent="0.25">
      <c r="Z104" s="69">
        <v>107</v>
      </c>
      <c r="AA104" s="70"/>
      <c r="AB104" s="70"/>
      <c r="AC104" s="70"/>
    </row>
    <row r="105" spans="26:29" x14ac:dyDescent="0.25">
      <c r="Z105" s="69">
        <v>108</v>
      </c>
      <c r="AA105" s="70"/>
      <c r="AB105" s="70"/>
      <c r="AC105" s="70"/>
    </row>
    <row r="106" spans="26:29" x14ac:dyDescent="0.25">
      <c r="Z106" s="69">
        <v>109</v>
      </c>
      <c r="AA106" s="70"/>
      <c r="AB106" s="70"/>
      <c r="AC106" s="70"/>
    </row>
    <row r="107" spans="26:29" x14ac:dyDescent="0.25">
      <c r="Z107" s="69">
        <v>110</v>
      </c>
      <c r="AA107" s="70"/>
      <c r="AB107" s="70"/>
      <c r="AC107" s="70"/>
    </row>
    <row r="108" spans="26:29" x14ac:dyDescent="0.25">
      <c r="Z108" s="69">
        <v>111</v>
      </c>
      <c r="AA108" s="70"/>
      <c r="AB108" s="70"/>
      <c r="AC108" s="70"/>
    </row>
    <row r="109" spans="26:29" x14ac:dyDescent="0.25">
      <c r="Z109" s="69">
        <v>112</v>
      </c>
      <c r="AA109" s="70"/>
      <c r="AB109" s="70"/>
      <c r="AC109" s="70"/>
    </row>
    <row r="110" spans="26:29" x14ac:dyDescent="0.25">
      <c r="Z110" s="69">
        <v>113</v>
      </c>
      <c r="AA110" s="70"/>
      <c r="AB110" s="70"/>
      <c r="AC110" s="70"/>
    </row>
    <row r="111" spans="26:29" x14ac:dyDescent="0.25">
      <c r="Z111" s="69">
        <v>114</v>
      </c>
      <c r="AA111" s="70"/>
      <c r="AB111" s="70"/>
      <c r="AC111" s="70"/>
    </row>
    <row r="112" spans="26:29" x14ac:dyDescent="0.25">
      <c r="Z112" s="69">
        <v>115</v>
      </c>
      <c r="AA112" s="70"/>
      <c r="AB112" s="70"/>
      <c r="AC112" s="70"/>
    </row>
    <row r="113" spans="26:29" x14ac:dyDescent="0.25">
      <c r="Z113" s="69">
        <v>116</v>
      </c>
      <c r="AA113" s="70"/>
      <c r="AB113" s="70"/>
      <c r="AC113" s="70"/>
    </row>
    <row r="114" spans="26:29" x14ac:dyDescent="0.25">
      <c r="Z114" s="69">
        <v>117</v>
      </c>
      <c r="AA114" s="70"/>
      <c r="AB114" s="70"/>
      <c r="AC114" s="70"/>
    </row>
    <row r="115" spans="26:29" x14ac:dyDescent="0.25">
      <c r="Z115" s="69">
        <v>118</v>
      </c>
      <c r="AA115" s="70"/>
      <c r="AB115" s="70"/>
      <c r="AC115" s="70"/>
    </row>
    <row r="116" spans="26:29" x14ac:dyDescent="0.25">
      <c r="Z116" s="69">
        <v>119</v>
      </c>
      <c r="AA116" s="70"/>
      <c r="AB116" s="70"/>
      <c r="AC116" s="70"/>
    </row>
    <row r="117" spans="26:29" x14ac:dyDescent="0.25">
      <c r="Z117" s="69">
        <v>120</v>
      </c>
      <c r="AA117" s="70"/>
      <c r="AB117" s="70"/>
      <c r="AC117" s="70"/>
    </row>
    <row r="118" spans="26:29" x14ac:dyDescent="0.25">
      <c r="Z118" s="69">
        <v>121</v>
      </c>
      <c r="AA118" s="70"/>
      <c r="AB118" s="70"/>
      <c r="AC118" s="70"/>
    </row>
    <row r="119" spans="26:29" x14ac:dyDescent="0.25">
      <c r="Z119" s="69">
        <v>122</v>
      </c>
      <c r="AA119" s="70"/>
      <c r="AB119" s="70"/>
      <c r="AC119" s="70"/>
    </row>
    <row r="120" spans="26:29" x14ac:dyDescent="0.25">
      <c r="Z120" s="69">
        <v>123</v>
      </c>
      <c r="AA120" s="70"/>
      <c r="AB120" s="70"/>
      <c r="AC120" s="70"/>
    </row>
    <row r="121" spans="26:29" x14ac:dyDescent="0.25">
      <c r="Z121" s="69">
        <v>124</v>
      </c>
      <c r="AA121" s="70"/>
      <c r="AB121" s="70"/>
      <c r="AC121" s="70"/>
    </row>
    <row r="122" spans="26:29" x14ac:dyDescent="0.25">
      <c r="Z122" s="69">
        <v>125</v>
      </c>
      <c r="AA122" s="70"/>
      <c r="AB122" s="70"/>
      <c r="AC122" s="70"/>
    </row>
    <row r="123" spans="26:29" x14ac:dyDescent="0.25">
      <c r="Z123" s="69">
        <v>126</v>
      </c>
      <c r="AA123" s="70"/>
      <c r="AB123" s="70"/>
      <c r="AC123" s="70"/>
    </row>
    <row r="124" spans="26:29" x14ac:dyDescent="0.25">
      <c r="Z124" s="69">
        <v>127</v>
      </c>
      <c r="AA124" s="70"/>
      <c r="AB124" s="70"/>
      <c r="AC124" s="70"/>
    </row>
    <row r="125" spans="26:29" x14ac:dyDescent="0.25">
      <c r="Z125" s="69">
        <v>128</v>
      </c>
      <c r="AA125" s="70"/>
      <c r="AB125" s="70"/>
      <c r="AC125" s="70"/>
    </row>
    <row r="126" spans="26:29" x14ac:dyDescent="0.25">
      <c r="Z126" s="69">
        <v>129</v>
      </c>
      <c r="AA126" s="70"/>
      <c r="AB126" s="70"/>
      <c r="AC126" s="70"/>
    </row>
    <row r="127" spans="26:29" x14ac:dyDescent="0.25">
      <c r="Z127" s="69">
        <v>130</v>
      </c>
      <c r="AA127" s="70"/>
      <c r="AB127" s="70"/>
      <c r="AC127" s="70"/>
    </row>
    <row r="128" spans="26:29" x14ac:dyDescent="0.25">
      <c r="Z128" s="69">
        <v>131</v>
      </c>
      <c r="AA128" s="70"/>
      <c r="AB128" s="70"/>
      <c r="AC128" s="70"/>
    </row>
    <row r="129" spans="26:29" x14ac:dyDescent="0.25">
      <c r="Z129" s="69">
        <v>132</v>
      </c>
      <c r="AA129" s="70"/>
      <c r="AB129" s="70"/>
      <c r="AC129" s="70"/>
    </row>
    <row r="130" spans="26:29" x14ac:dyDescent="0.25">
      <c r="Z130" s="69">
        <v>133</v>
      </c>
      <c r="AA130" s="70"/>
      <c r="AB130" s="70"/>
      <c r="AC130" s="70"/>
    </row>
    <row r="131" spans="26:29" x14ac:dyDescent="0.25">
      <c r="Z131" s="69">
        <v>134</v>
      </c>
      <c r="AA131" s="70"/>
      <c r="AB131" s="70"/>
      <c r="AC131" s="70"/>
    </row>
    <row r="132" spans="26:29" x14ac:dyDescent="0.25">
      <c r="Z132" s="69">
        <v>135</v>
      </c>
      <c r="AA132" s="70"/>
      <c r="AB132" s="70"/>
      <c r="AC132" s="70"/>
    </row>
    <row r="133" spans="26:29" x14ac:dyDescent="0.25">
      <c r="Z133" s="69">
        <v>136</v>
      </c>
      <c r="AA133" s="70"/>
      <c r="AB133" s="70"/>
      <c r="AC133" s="70"/>
    </row>
    <row r="134" spans="26:29" x14ac:dyDescent="0.25">
      <c r="Z134" s="69">
        <v>137</v>
      </c>
      <c r="AA134" s="70"/>
      <c r="AB134" s="70"/>
      <c r="AC134" s="70"/>
    </row>
    <row r="135" spans="26:29" x14ac:dyDescent="0.25">
      <c r="Z135" s="69">
        <v>138</v>
      </c>
      <c r="AA135" s="70"/>
      <c r="AB135" s="70"/>
      <c r="AC135" s="70"/>
    </row>
    <row r="136" spans="26:29" x14ac:dyDescent="0.25">
      <c r="Z136" s="69">
        <v>139</v>
      </c>
      <c r="AA136" s="70"/>
      <c r="AB136" s="70"/>
      <c r="AC136" s="70"/>
    </row>
    <row r="137" spans="26:29" x14ac:dyDescent="0.25">
      <c r="Z137" s="69">
        <v>140</v>
      </c>
      <c r="AA137" s="70"/>
      <c r="AB137" s="70"/>
      <c r="AC137" s="70"/>
    </row>
    <row r="138" spans="26:29" x14ac:dyDescent="0.25">
      <c r="Z138" s="69">
        <v>141</v>
      </c>
      <c r="AA138" s="70"/>
      <c r="AB138" s="70"/>
      <c r="AC138" s="70"/>
    </row>
    <row r="139" spans="26:29" x14ac:dyDescent="0.25">
      <c r="Z139" s="69">
        <v>142</v>
      </c>
      <c r="AA139" s="70"/>
      <c r="AB139" s="70"/>
      <c r="AC139" s="70"/>
    </row>
    <row r="140" spans="26:29" x14ac:dyDescent="0.25">
      <c r="Z140" s="69">
        <v>143</v>
      </c>
      <c r="AA140" s="70"/>
      <c r="AB140" s="70"/>
      <c r="AC140" s="70"/>
    </row>
    <row r="141" spans="26:29" x14ac:dyDescent="0.25">
      <c r="Z141" s="69">
        <v>144</v>
      </c>
      <c r="AA141" s="70"/>
      <c r="AB141" s="70"/>
      <c r="AC141" s="70"/>
    </row>
    <row r="142" spans="26:29" x14ac:dyDescent="0.25">
      <c r="Z142" s="69">
        <v>145</v>
      </c>
      <c r="AA142" s="70"/>
      <c r="AB142" s="70"/>
      <c r="AC142" s="70"/>
    </row>
    <row r="143" spans="26:29" x14ac:dyDescent="0.25">
      <c r="Z143" s="69">
        <v>146</v>
      </c>
      <c r="AA143" s="70"/>
      <c r="AB143" s="70"/>
      <c r="AC143" s="70"/>
    </row>
    <row r="144" spans="26:29" x14ac:dyDescent="0.25">
      <c r="Z144" s="69">
        <v>147</v>
      </c>
      <c r="AA144" s="70"/>
      <c r="AB144" s="70"/>
      <c r="AC144" s="70"/>
    </row>
    <row r="145" spans="26:29" x14ac:dyDescent="0.25">
      <c r="Z145" s="69">
        <v>148</v>
      </c>
      <c r="AA145" s="70"/>
      <c r="AB145" s="70"/>
      <c r="AC145" s="70"/>
    </row>
    <row r="146" spans="26:29" x14ac:dyDescent="0.25">
      <c r="Z146" s="69">
        <v>149</v>
      </c>
      <c r="AA146" s="70"/>
      <c r="AB146" s="70"/>
      <c r="AC146" s="70"/>
    </row>
    <row r="147" spans="26:29" x14ac:dyDescent="0.25">
      <c r="Z147" s="69">
        <v>150</v>
      </c>
      <c r="AA147" s="70"/>
      <c r="AB147" s="70"/>
      <c r="AC147" s="70"/>
    </row>
    <row r="148" spans="26:29" x14ac:dyDescent="0.25">
      <c r="Z148" s="69">
        <v>151</v>
      </c>
      <c r="AA148" s="70"/>
      <c r="AB148" s="70"/>
      <c r="AC148" s="70"/>
    </row>
    <row r="149" spans="26:29" x14ac:dyDescent="0.25">
      <c r="Z149" s="69">
        <v>152</v>
      </c>
      <c r="AA149" s="70"/>
      <c r="AB149" s="70"/>
      <c r="AC149" s="70"/>
    </row>
    <row r="150" spans="26:29" x14ac:dyDescent="0.25">
      <c r="Z150" s="69">
        <v>153</v>
      </c>
      <c r="AA150" s="70"/>
      <c r="AB150" s="70"/>
      <c r="AC150" s="70"/>
    </row>
    <row r="151" spans="26:29" x14ac:dyDescent="0.25">
      <c r="Z151" s="69">
        <v>154</v>
      </c>
      <c r="AA151" s="70"/>
      <c r="AB151" s="70"/>
      <c r="AC151" s="70"/>
    </row>
    <row r="152" spans="26:29" x14ac:dyDescent="0.25">
      <c r="Z152" s="69">
        <v>155</v>
      </c>
      <c r="AA152" s="70"/>
      <c r="AB152" s="70"/>
      <c r="AC152" s="70"/>
    </row>
    <row r="153" spans="26:29" x14ac:dyDescent="0.25">
      <c r="Z153" s="69">
        <v>156</v>
      </c>
      <c r="AA153" s="70"/>
      <c r="AB153" s="70"/>
      <c r="AC153" s="70"/>
    </row>
    <row r="154" spans="26:29" x14ac:dyDescent="0.25">
      <c r="Z154" s="69">
        <v>157</v>
      </c>
      <c r="AA154" s="70"/>
      <c r="AB154" s="70"/>
      <c r="AC154" s="70"/>
    </row>
    <row r="155" spans="26:29" x14ac:dyDescent="0.25">
      <c r="Z155" s="69">
        <v>158</v>
      </c>
      <c r="AA155" s="70"/>
      <c r="AB155" s="70"/>
      <c r="AC155" s="70"/>
    </row>
    <row r="156" spans="26:29" x14ac:dyDescent="0.25">
      <c r="Z156" s="69">
        <v>159</v>
      </c>
      <c r="AA156" s="70"/>
      <c r="AB156" s="70"/>
      <c r="AC156" s="70"/>
    </row>
    <row r="157" spans="26:29" x14ac:dyDescent="0.25">
      <c r="Z157" s="69">
        <v>160</v>
      </c>
      <c r="AA157" s="70"/>
      <c r="AB157" s="70"/>
      <c r="AC157" s="70"/>
    </row>
    <row r="158" spans="26:29" x14ac:dyDescent="0.25">
      <c r="Z158" s="69">
        <v>161</v>
      </c>
      <c r="AA158" s="70"/>
      <c r="AB158" s="70"/>
      <c r="AC158" s="70"/>
    </row>
    <row r="159" spans="26:29" x14ac:dyDescent="0.25">
      <c r="Z159" s="69">
        <v>162</v>
      </c>
      <c r="AA159" s="70"/>
      <c r="AB159" s="70"/>
      <c r="AC159" s="70"/>
    </row>
    <row r="160" spans="26:29" x14ac:dyDescent="0.25">
      <c r="Z160" s="69">
        <v>163</v>
      </c>
      <c r="AA160" s="70"/>
      <c r="AB160" s="70"/>
      <c r="AC160" s="70"/>
    </row>
    <row r="161" spans="26:29" x14ac:dyDescent="0.25">
      <c r="Z161" s="69">
        <v>164</v>
      </c>
      <c r="AA161" s="70"/>
      <c r="AB161" s="70"/>
      <c r="AC161" s="70"/>
    </row>
    <row r="162" spans="26:29" x14ac:dyDescent="0.25">
      <c r="Z162" s="69">
        <v>165</v>
      </c>
      <c r="AA162" s="70"/>
      <c r="AB162" s="70"/>
      <c r="AC162" s="70"/>
    </row>
    <row r="163" spans="26:29" x14ac:dyDescent="0.25">
      <c r="Z163" s="69">
        <v>166</v>
      </c>
      <c r="AA163" s="70"/>
      <c r="AB163" s="70"/>
      <c r="AC163" s="70"/>
    </row>
    <row r="164" spans="26:29" x14ac:dyDescent="0.25">
      <c r="Z164" s="69">
        <v>167</v>
      </c>
      <c r="AA164" s="70"/>
      <c r="AB164" s="70"/>
      <c r="AC164" s="70"/>
    </row>
    <row r="165" spans="26:29" x14ac:dyDescent="0.25">
      <c r="Z165" s="69">
        <v>168</v>
      </c>
      <c r="AA165" s="70"/>
      <c r="AB165" s="70"/>
      <c r="AC165" s="70"/>
    </row>
    <row r="166" spans="26:29" x14ac:dyDescent="0.25">
      <c r="Z166" s="69">
        <v>169</v>
      </c>
      <c r="AA166" s="70"/>
      <c r="AB166" s="70"/>
      <c r="AC166" s="70"/>
    </row>
    <row r="167" spans="26:29" x14ac:dyDescent="0.25">
      <c r="Z167" s="69">
        <v>170</v>
      </c>
      <c r="AA167" s="70"/>
      <c r="AB167" s="70"/>
      <c r="AC167" s="70"/>
    </row>
    <row r="168" spans="26:29" x14ac:dyDescent="0.25">
      <c r="Z168" s="69">
        <v>171</v>
      </c>
      <c r="AA168" s="70"/>
      <c r="AB168" s="70"/>
      <c r="AC168" s="70"/>
    </row>
    <row r="169" spans="26:29" x14ac:dyDescent="0.25">
      <c r="Z169" s="69">
        <v>172</v>
      </c>
      <c r="AA169" s="70"/>
      <c r="AB169" s="70"/>
      <c r="AC169" s="70"/>
    </row>
    <row r="170" spans="26:29" x14ac:dyDescent="0.25">
      <c r="Z170" s="69">
        <v>173</v>
      </c>
      <c r="AA170" s="70"/>
      <c r="AB170" s="70"/>
      <c r="AC170" s="70"/>
    </row>
    <row r="171" spans="26:29" x14ac:dyDescent="0.25">
      <c r="Z171" s="69">
        <v>174</v>
      </c>
      <c r="AA171" s="70"/>
      <c r="AB171" s="70"/>
      <c r="AC171" s="70"/>
    </row>
    <row r="172" spans="26:29" x14ac:dyDescent="0.25">
      <c r="Z172" s="69">
        <v>175</v>
      </c>
      <c r="AA172" s="70"/>
      <c r="AB172" s="70"/>
      <c r="AC172" s="70"/>
    </row>
    <row r="173" spans="26:29" x14ac:dyDescent="0.25">
      <c r="Z173" s="69">
        <v>176</v>
      </c>
      <c r="AA173" s="70"/>
      <c r="AB173" s="70"/>
      <c r="AC173" s="70"/>
    </row>
    <row r="174" spans="26:29" x14ac:dyDescent="0.25">
      <c r="Z174" s="69">
        <v>177</v>
      </c>
      <c r="AA174" s="70"/>
      <c r="AB174" s="70"/>
      <c r="AC174" s="70"/>
    </row>
    <row r="175" spans="26:29" x14ac:dyDescent="0.25">
      <c r="Z175" s="69">
        <v>178</v>
      </c>
      <c r="AA175" s="70"/>
      <c r="AB175" s="70"/>
      <c r="AC175" s="70"/>
    </row>
    <row r="176" spans="26:29" x14ac:dyDescent="0.25">
      <c r="Z176" s="69">
        <v>179</v>
      </c>
      <c r="AA176" s="70"/>
      <c r="AB176" s="70"/>
      <c r="AC176" s="70"/>
    </row>
    <row r="177" spans="26:29" x14ac:dyDescent="0.25">
      <c r="Z177" s="69">
        <v>180</v>
      </c>
      <c r="AA177" s="70"/>
      <c r="AB177" s="70"/>
      <c r="AC177" s="70"/>
    </row>
    <row r="178" spans="26:29" x14ac:dyDescent="0.25">
      <c r="Z178" s="69">
        <v>181</v>
      </c>
      <c r="AA178" s="70"/>
      <c r="AB178" s="70"/>
      <c r="AC178" s="70"/>
    </row>
    <row r="179" spans="26:29" x14ac:dyDescent="0.25">
      <c r="Z179" s="69">
        <v>182</v>
      </c>
      <c r="AA179" s="70"/>
      <c r="AB179" s="70"/>
      <c r="AC179" s="70"/>
    </row>
    <row r="180" spans="26:29" x14ac:dyDescent="0.25">
      <c r="Z180" s="69">
        <v>183</v>
      </c>
      <c r="AA180" s="70"/>
      <c r="AB180" s="70"/>
      <c r="AC180" s="70"/>
    </row>
    <row r="181" spans="26:29" x14ac:dyDescent="0.25">
      <c r="Z181" s="69">
        <v>184</v>
      </c>
      <c r="AA181" s="70"/>
      <c r="AB181" s="70"/>
      <c r="AC181" s="70"/>
    </row>
    <row r="182" spans="26:29" x14ac:dyDescent="0.25">
      <c r="Z182" s="69">
        <v>185</v>
      </c>
      <c r="AA182" s="70"/>
      <c r="AB182" s="70"/>
      <c r="AC182" s="70"/>
    </row>
    <row r="183" spans="26:29" x14ac:dyDescent="0.25">
      <c r="Z183" s="69">
        <v>186</v>
      </c>
      <c r="AA183" s="70"/>
      <c r="AB183" s="70"/>
      <c r="AC183" s="70"/>
    </row>
    <row r="184" spans="26:29" x14ac:dyDescent="0.25">
      <c r="Z184" s="69">
        <v>187</v>
      </c>
      <c r="AA184" s="70"/>
      <c r="AB184" s="70"/>
      <c r="AC184" s="70"/>
    </row>
    <row r="185" spans="26:29" x14ac:dyDescent="0.25">
      <c r="Z185" s="69">
        <v>188</v>
      </c>
      <c r="AA185" s="70"/>
      <c r="AB185" s="70"/>
      <c r="AC185" s="70"/>
    </row>
    <row r="186" spans="26:29" x14ac:dyDescent="0.25">
      <c r="Z186" s="69">
        <v>189</v>
      </c>
      <c r="AA186" s="70"/>
      <c r="AB186" s="70"/>
      <c r="AC186" s="70"/>
    </row>
    <row r="187" spans="26:29" x14ac:dyDescent="0.25">
      <c r="Z187" s="69">
        <v>190</v>
      </c>
      <c r="AA187" s="70"/>
      <c r="AB187" s="70"/>
      <c r="AC187" s="70"/>
    </row>
    <row r="188" spans="26:29" x14ac:dyDescent="0.25">
      <c r="Z188" s="69">
        <v>191</v>
      </c>
      <c r="AA188" s="70"/>
      <c r="AB188" s="70"/>
      <c r="AC188" s="70"/>
    </row>
    <row r="189" spans="26:29" x14ac:dyDescent="0.25">
      <c r="Z189" s="69">
        <v>192</v>
      </c>
      <c r="AA189" s="70"/>
      <c r="AB189" s="70"/>
      <c r="AC189" s="70"/>
    </row>
    <row r="190" spans="26:29" x14ac:dyDescent="0.25">
      <c r="Z190" s="69">
        <v>193</v>
      </c>
      <c r="AA190" s="70"/>
      <c r="AB190" s="70"/>
      <c r="AC190" s="70"/>
    </row>
    <row r="191" spans="26:29" x14ac:dyDescent="0.25">
      <c r="Z191" s="69">
        <v>194</v>
      </c>
      <c r="AA191" s="70"/>
      <c r="AB191" s="70"/>
      <c r="AC191" s="70"/>
    </row>
    <row r="192" spans="26:29" x14ac:dyDescent="0.25">
      <c r="Z192" s="69">
        <v>195</v>
      </c>
      <c r="AA192" s="70"/>
      <c r="AB192" s="70"/>
      <c r="AC192" s="70"/>
    </row>
    <row r="193" spans="26:29" x14ac:dyDescent="0.25">
      <c r="Z193" s="69">
        <v>196</v>
      </c>
      <c r="AA193" s="70"/>
      <c r="AB193" s="70"/>
      <c r="AC193" s="70"/>
    </row>
    <row r="194" spans="26:29" x14ac:dyDescent="0.25">
      <c r="Z194" s="69">
        <v>197</v>
      </c>
      <c r="AA194" s="70"/>
      <c r="AB194" s="70"/>
      <c r="AC194" s="70"/>
    </row>
    <row r="195" spans="26:29" x14ac:dyDescent="0.25">
      <c r="Z195" s="69">
        <v>198</v>
      </c>
      <c r="AA195" s="70"/>
      <c r="AB195" s="70"/>
      <c r="AC195" s="70"/>
    </row>
    <row r="196" spans="26:29" x14ac:dyDescent="0.25">
      <c r="Z196" s="69">
        <v>199</v>
      </c>
      <c r="AA196" s="70"/>
      <c r="AB196" s="70"/>
      <c r="AC196" s="70"/>
    </row>
    <row r="197" spans="26:29" x14ac:dyDescent="0.25">
      <c r="Z197" s="69">
        <v>200</v>
      </c>
      <c r="AA197" s="70"/>
      <c r="AB197" s="70"/>
      <c r="AC197" s="70"/>
    </row>
    <row r="198" spans="26:29" x14ac:dyDescent="0.25">
      <c r="Z198" s="69">
        <v>201</v>
      </c>
      <c r="AA198" s="70"/>
      <c r="AB198" s="70"/>
      <c r="AC198" s="70"/>
    </row>
    <row r="199" spans="26:29" x14ac:dyDescent="0.25">
      <c r="Z199" s="69">
        <v>202</v>
      </c>
      <c r="AA199" s="70"/>
      <c r="AB199" s="70"/>
      <c r="AC199" s="70"/>
    </row>
    <row r="200" spans="26:29" x14ac:dyDescent="0.25">
      <c r="Z200" s="69">
        <v>203</v>
      </c>
      <c r="AA200" s="70"/>
      <c r="AB200" s="70"/>
      <c r="AC200" s="70"/>
    </row>
    <row r="201" spans="26:29" x14ac:dyDescent="0.25">
      <c r="Z201" s="69">
        <v>204</v>
      </c>
      <c r="AA201" s="70"/>
      <c r="AB201" s="70"/>
      <c r="AC201" s="70"/>
    </row>
    <row r="202" spans="26:29" x14ac:dyDescent="0.25">
      <c r="Z202" s="69">
        <v>205</v>
      </c>
      <c r="AA202" s="70"/>
      <c r="AB202" s="70"/>
      <c r="AC202" s="70"/>
    </row>
    <row r="203" spans="26:29" x14ac:dyDescent="0.25">
      <c r="Z203" s="69">
        <v>206</v>
      </c>
      <c r="AA203" s="70"/>
      <c r="AB203" s="70"/>
      <c r="AC203" s="70"/>
    </row>
    <row r="204" spans="26:29" x14ac:dyDescent="0.25">
      <c r="Z204" s="69">
        <v>207</v>
      </c>
      <c r="AA204" s="70"/>
      <c r="AB204" s="70"/>
      <c r="AC204" s="70"/>
    </row>
    <row r="205" spans="26:29" x14ac:dyDescent="0.25">
      <c r="Z205" s="69">
        <v>208</v>
      </c>
      <c r="AA205" s="70"/>
      <c r="AB205" s="70"/>
      <c r="AC205" s="70"/>
    </row>
    <row r="206" spans="26:29" x14ac:dyDescent="0.25">
      <c r="Z206" s="69">
        <v>209</v>
      </c>
      <c r="AA206" s="70"/>
      <c r="AB206" s="70"/>
      <c r="AC206" s="70"/>
    </row>
    <row r="207" spans="26:29" x14ac:dyDescent="0.25">
      <c r="Z207" s="69">
        <v>210</v>
      </c>
      <c r="AA207" s="70"/>
      <c r="AB207" s="70"/>
      <c r="AC207" s="70"/>
    </row>
    <row r="208" spans="26:29" x14ac:dyDescent="0.25">
      <c r="Z208" s="69">
        <v>211</v>
      </c>
      <c r="AA208" s="70"/>
      <c r="AB208" s="70"/>
      <c r="AC208" s="70"/>
    </row>
    <row r="209" spans="26:29" x14ac:dyDescent="0.25">
      <c r="Z209" s="69">
        <v>212</v>
      </c>
      <c r="AA209" s="70"/>
      <c r="AB209" s="70"/>
      <c r="AC209" s="70"/>
    </row>
    <row r="210" spans="26:29" x14ac:dyDescent="0.25">
      <c r="Z210" s="69">
        <v>213</v>
      </c>
      <c r="AA210" s="70"/>
      <c r="AB210" s="70"/>
      <c r="AC210" s="70"/>
    </row>
    <row r="211" spans="26:29" x14ac:dyDescent="0.25">
      <c r="Z211" s="69">
        <v>214</v>
      </c>
      <c r="AA211" s="70"/>
      <c r="AB211" s="70"/>
      <c r="AC211" s="70"/>
    </row>
    <row r="212" spans="26:29" x14ac:dyDescent="0.25">
      <c r="Z212" s="69">
        <v>215</v>
      </c>
      <c r="AA212" s="70"/>
      <c r="AB212" s="70"/>
      <c r="AC212" s="70"/>
    </row>
    <row r="213" spans="26:29" x14ac:dyDescent="0.25">
      <c r="Z213" s="69">
        <v>216</v>
      </c>
      <c r="AA213" s="70"/>
      <c r="AB213" s="70"/>
      <c r="AC213" s="70"/>
    </row>
    <row r="214" spans="26:29" x14ac:dyDescent="0.25">
      <c r="Z214" s="69">
        <v>217</v>
      </c>
      <c r="AA214" s="70"/>
      <c r="AB214" s="70"/>
      <c r="AC214" s="70"/>
    </row>
    <row r="215" spans="26:29" x14ac:dyDescent="0.25">
      <c r="Z215" s="69">
        <v>218</v>
      </c>
      <c r="AA215" s="70"/>
      <c r="AB215" s="70"/>
      <c r="AC215" s="70"/>
    </row>
    <row r="216" spans="26:29" x14ac:dyDescent="0.25">
      <c r="Z216" s="69">
        <v>219</v>
      </c>
      <c r="AA216" s="70"/>
      <c r="AB216" s="70"/>
      <c r="AC216" s="70"/>
    </row>
    <row r="217" spans="26:29" x14ac:dyDescent="0.25">
      <c r="Z217" s="69">
        <v>220</v>
      </c>
      <c r="AA217" s="70"/>
      <c r="AB217" s="70"/>
      <c r="AC217" s="70"/>
    </row>
    <row r="218" spans="26:29" x14ac:dyDescent="0.25">
      <c r="Z218" s="69">
        <v>221</v>
      </c>
      <c r="AA218" s="70"/>
      <c r="AB218" s="70"/>
      <c r="AC218" s="70"/>
    </row>
    <row r="219" spans="26:29" x14ac:dyDescent="0.25">
      <c r="Z219" s="69">
        <v>222</v>
      </c>
      <c r="AA219" s="70"/>
      <c r="AB219" s="70"/>
      <c r="AC219" s="70"/>
    </row>
    <row r="220" spans="26:29" x14ac:dyDescent="0.25">
      <c r="Z220" s="69">
        <v>223</v>
      </c>
      <c r="AA220" s="70"/>
      <c r="AB220" s="70"/>
      <c r="AC220" s="70"/>
    </row>
    <row r="221" spans="26:29" x14ac:dyDescent="0.25">
      <c r="Z221" s="69">
        <v>224</v>
      </c>
      <c r="AA221" s="70"/>
      <c r="AB221" s="70"/>
      <c r="AC221" s="70"/>
    </row>
    <row r="222" spans="26:29" x14ac:dyDescent="0.25">
      <c r="Z222" s="69">
        <v>225</v>
      </c>
      <c r="AA222" s="70"/>
      <c r="AB222" s="70"/>
      <c r="AC222" s="70"/>
    </row>
    <row r="223" spans="26:29" x14ac:dyDescent="0.25">
      <c r="Z223" s="69">
        <v>226</v>
      </c>
      <c r="AA223" s="70"/>
      <c r="AB223" s="70"/>
      <c r="AC223" s="70"/>
    </row>
    <row r="224" spans="26:29" x14ac:dyDescent="0.25">
      <c r="Z224" s="69">
        <v>227</v>
      </c>
      <c r="AA224" s="70"/>
      <c r="AB224" s="70"/>
      <c r="AC224" s="70"/>
    </row>
    <row r="225" spans="26:29" x14ac:dyDescent="0.25">
      <c r="Z225" s="69">
        <v>228</v>
      </c>
      <c r="AA225" s="70"/>
      <c r="AB225" s="70"/>
      <c r="AC225" s="70"/>
    </row>
    <row r="226" spans="26:29" x14ac:dyDescent="0.25">
      <c r="Z226" s="69">
        <v>229</v>
      </c>
      <c r="AA226" s="70"/>
      <c r="AB226" s="70"/>
      <c r="AC226" s="70"/>
    </row>
  </sheetData>
  <sheetProtection algorithmName="SHA-512" hashValue="kGCyh+LSXAtT7ID4YwvbyhiH33kc4fVB2QoQAgWNNlVn37olBPBAeLb/luroZWsA4KAO92Jhzce8BJE6Xcxotg==" saltValue="0f/rMYvkT5M6CYghU2NrNA==" spinCount="100000" sheet="1" objects="1" scenarios="1" selectLockedCells="1"/>
  <mergeCells count="2">
    <mergeCell ref="A3:B3"/>
    <mergeCell ref="F3:G3"/>
  </mergeCells>
  <printOptions horizontalCentered="1"/>
  <pageMargins left="0.7" right="0.7" top="0.75" bottom="0.75" header="0.3" footer="0.3"/>
  <pageSetup paperSize="9" scale="42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arMatrizANuevoLibroProtegido">
                <anchor moveWithCells="1" sizeWithCells="1">
                  <from>
                    <xdr:col>7</xdr:col>
                    <xdr:colOff>28575</xdr:colOff>
                    <xdr:row>0</xdr:row>
                    <xdr:rowOff>47625</xdr:rowOff>
                  </from>
                  <to>
                    <xdr:col>7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uplicarMatrizComoNuevaHoja">
                <anchor moveWithCells="1" sizeWithCells="1">
                  <from>
                    <xdr:col>8</xdr:col>
                    <xdr:colOff>38100</xdr:colOff>
                    <xdr:row>0</xdr:row>
                    <xdr:rowOff>38100</xdr:rowOff>
                  </from>
                  <to>
                    <xdr:col>8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EliminarHojaImportacion">
                <anchor moveWithCells="1" sizeWithCells="1">
                  <from>
                    <xdr:col>9</xdr:col>
                    <xdr:colOff>0</xdr:colOff>
                    <xdr:row>0</xdr:row>
                    <xdr:rowOff>66675</xdr:rowOff>
                  </from>
                  <to>
                    <xdr:col>9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umenDeImportaciones">
                <anchor moveWithCells="1" sizeWithCells="1">
                  <from>
                    <xdr:col>10</xdr:col>
                    <xdr:colOff>9525</xdr:colOff>
                    <xdr:row>0</xdr:row>
                    <xdr:rowOff>104775</xdr:rowOff>
                  </from>
                  <to>
                    <xdr:col>11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ImprimirImportacionA4Horizontal">
                <anchor moveWithCells="1" sizeWithCells="1">
                  <from>
                    <xdr:col>11</xdr:col>
                    <xdr:colOff>114300</xdr:colOff>
                    <xdr:row>0</xdr:row>
                    <xdr:rowOff>66675</xdr:rowOff>
                  </from>
                  <to>
                    <xdr:col>12</xdr:col>
                    <xdr:colOff>0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D52"/>
  <sheetViews>
    <sheetView showGridLines="0" tabSelected="1" topLeftCell="A10" zoomScale="84" zoomScaleNormal="84" workbookViewId="0">
      <selection activeCell="B20" sqref="B20"/>
    </sheetView>
  </sheetViews>
  <sheetFormatPr baseColWidth="10" defaultRowHeight="15" x14ac:dyDescent="0.25"/>
  <cols>
    <col min="1" max="1" width="16.28515625" customWidth="1"/>
    <col min="2" max="2" width="30.7109375" customWidth="1"/>
    <col min="3" max="3" width="16.42578125" style="29" bestFit="1" customWidth="1"/>
    <col min="4" max="4" width="15.140625" style="22" bestFit="1" customWidth="1"/>
    <col min="5" max="6" width="15.140625" style="22" customWidth="1"/>
    <col min="7" max="7" width="9.7109375" style="22" customWidth="1"/>
    <col min="8" max="8" width="24" customWidth="1"/>
    <col min="9" max="9" width="13.5703125" style="3" customWidth="1"/>
    <col min="10" max="10" width="14.85546875" style="3" customWidth="1"/>
    <col min="11" max="11" width="15" style="3" customWidth="1"/>
    <col min="12" max="12" width="16.42578125" style="3" customWidth="1"/>
    <col min="13" max="13" width="11.140625" style="3" customWidth="1"/>
    <col min="14" max="14" width="11" style="3" customWidth="1"/>
    <col min="15" max="16" width="14" style="3" customWidth="1"/>
    <col min="17" max="17" width="16" style="3" customWidth="1"/>
    <col min="18" max="19" width="13" style="3" customWidth="1"/>
    <col min="20" max="20" width="16.7109375" style="3" customWidth="1"/>
    <col min="21" max="21" width="15.28515625" style="3" customWidth="1"/>
    <col min="22" max="22" width="15.85546875" customWidth="1"/>
    <col min="23" max="23" width="19.85546875" customWidth="1"/>
    <col min="24" max="24" width="14.5703125" customWidth="1"/>
    <col min="25" max="25" width="16.42578125" customWidth="1"/>
    <col min="26" max="26" width="17.140625" customWidth="1"/>
    <col min="27" max="27" width="19.5703125" customWidth="1"/>
    <col min="28" max="28" width="14.42578125" customWidth="1"/>
    <col min="29" max="29" width="14.28515625" customWidth="1"/>
    <col min="30" max="30" width="16.140625" customWidth="1"/>
  </cols>
  <sheetData>
    <row r="1" spans="1:22" ht="69" customHeight="1" x14ac:dyDescent="0.25"/>
    <row r="2" spans="1:22" ht="19.5" thickBot="1" x14ac:dyDescent="0.35">
      <c r="A2" s="12"/>
      <c r="B2" s="76"/>
      <c r="C2" s="77"/>
      <c r="D2" s="78"/>
      <c r="E2" s="78"/>
      <c r="F2" s="78"/>
      <c r="G2" s="78"/>
      <c r="H2" s="7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22" ht="18.75" customHeight="1" x14ac:dyDescent="0.25">
      <c r="A3" s="123" t="s">
        <v>0</v>
      </c>
      <c r="B3" s="124"/>
      <c r="H3" s="125" t="s">
        <v>1</v>
      </c>
      <c r="I3" s="126"/>
      <c r="J3" s="58" t="s">
        <v>48</v>
      </c>
      <c r="K3" s="60"/>
      <c r="L3" s="11"/>
      <c r="M3" s="11"/>
      <c r="N3" s="11"/>
      <c r="O3" s="11"/>
      <c r="P3" s="11"/>
      <c r="Q3" s="11"/>
      <c r="R3" s="11"/>
      <c r="S3" s="11"/>
      <c r="T3" s="10"/>
      <c r="U3" s="10"/>
      <c r="V3" s="7"/>
    </row>
    <row r="4" spans="1:22" ht="19.5" thickBot="1" x14ac:dyDescent="0.35">
      <c r="A4" s="1" t="s">
        <v>6</v>
      </c>
      <c r="B4" s="80">
        <f>+H52</f>
        <v>46086.720000000001</v>
      </c>
      <c r="H4" s="2" t="s">
        <v>27</v>
      </c>
      <c r="I4" s="28"/>
      <c r="J4" s="59" t="s">
        <v>49</v>
      </c>
      <c r="K4" s="6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16.5" thickBot="1" x14ac:dyDescent="0.3">
      <c r="B5" s="57"/>
      <c r="H5" s="54" t="s">
        <v>20</v>
      </c>
      <c r="I5" s="66">
        <v>1000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ht="19.5" thickBot="1" x14ac:dyDescent="0.35">
      <c r="A6" s="13"/>
      <c r="B6" s="5"/>
      <c r="H6" s="54" t="s">
        <v>18</v>
      </c>
      <c r="I6" s="66">
        <v>150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 x14ac:dyDescent="0.25">
      <c r="H7" s="54" t="s">
        <v>89</v>
      </c>
      <c r="I7" s="86">
        <v>1500</v>
      </c>
      <c r="J7" s="11"/>
      <c r="L7" s="11"/>
      <c r="M7" s="11"/>
      <c r="N7" s="11"/>
      <c r="O7" s="11"/>
      <c r="P7" s="11"/>
      <c r="Q7" s="11"/>
      <c r="R7" s="11"/>
      <c r="S7" s="11"/>
      <c r="T7" s="11"/>
      <c r="U7" s="9"/>
      <c r="V7" s="9"/>
    </row>
    <row r="8" spans="1:22" x14ac:dyDescent="0.25">
      <c r="H8" s="54" t="s">
        <v>2</v>
      </c>
      <c r="I8" s="86" t="s">
        <v>93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ht="15.75" x14ac:dyDescent="0.25">
      <c r="A9" s="13" t="s">
        <v>151</v>
      </c>
      <c r="B9" s="47">
        <v>150</v>
      </c>
      <c r="C9" s="43"/>
      <c r="H9" s="54"/>
      <c r="I9" s="66"/>
      <c r="J9" s="11"/>
      <c r="K9" s="11"/>
      <c r="L9" s="11" t="s">
        <v>109</v>
      </c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ht="15.75" x14ac:dyDescent="0.25">
      <c r="A10" s="13" t="s">
        <v>40</v>
      </c>
      <c r="B10" s="47">
        <v>15</v>
      </c>
      <c r="C10" s="43" t="s">
        <v>11</v>
      </c>
      <c r="H10" s="54" t="s">
        <v>26</v>
      </c>
      <c r="I10" s="86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25">
      <c r="A11" s="12"/>
      <c r="H11" s="54" t="s">
        <v>3</v>
      </c>
      <c r="I11" s="66">
        <v>332.58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x14ac:dyDescent="0.25">
      <c r="A12" s="12"/>
      <c r="B12" s="20" t="s">
        <v>14</v>
      </c>
      <c r="C12" s="30" t="s">
        <v>22</v>
      </c>
      <c r="D12" s="6" t="s">
        <v>23</v>
      </c>
      <c r="E12" s="6"/>
      <c r="F12" s="6"/>
      <c r="G12" s="6" t="s">
        <v>25</v>
      </c>
      <c r="H12" s="55" t="s">
        <v>4</v>
      </c>
      <c r="I12" s="66">
        <v>470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A13" s="19" t="s">
        <v>15</v>
      </c>
      <c r="B13" s="81"/>
      <c r="C13" s="51" t="s">
        <v>24</v>
      </c>
      <c r="D13" s="52"/>
      <c r="E13" s="52"/>
      <c r="F13" s="52"/>
      <c r="G13" s="53"/>
      <c r="H13" s="55" t="s">
        <v>12</v>
      </c>
      <c r="I13" s="86" t="s">
        <v>93</v>
      </c>
      <c r="J13" s="11"/>
      <c r="K13" s="11"/>
      <c r="L13" s="11"/>
      <c r="M13" s="11"/>
      <c r="P13" s="11"/>
      <c r="Q13" s="11"/>
      <c r="R13" s="11"/>
      <c r="S13" s="11"/>
      <c r="T13" s="11"/>
      <c r="U13" s="11"/>
      <c r="V13" s="11"/>
    </row>
    <row r="14" spans="1:22" ht="15.75" thickBot="1" x14ac:dyDescent="0.3">
      <c r="A14" s="21" t="s">
        <v>16</v>
      </c>
      <c r="B14" s="81"/>
      <c r="C14" s="51" t="s">
        <v>21</v>
      </c>
      <c r="D14" s="52"/>
      <c r="E14" s="52"/>
      <c r="F14" s="52"/>
      <c r="G14" s="53"/>
      <c r="H14" s="55" t="s">
        <v>5</v>
      </c>
      <c r="I14" s="66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ht="19.5" thickBot="1" x14ac:dyDescent="0.35">
      <c r="A15" s="21" t="s">
        <v>17</v>
      </c>
      <c r="B15" s="81"/>
      <c r="C15" s="51" t="s">
        <v>21</v>
      </c>
      <c r="D15" s="52"/>
      <c r="E15" s="52"/>
      <c r="F15" s="52"/>
      <c r="G15" s="53"/>
      <c r="H15" s="4" t="s">
        <v>7</v>
      </c>
      <c r="I15" s="56">
        <f>SUM(I5:I14)</f>
        <v>3452.58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</row>
    <row r="16" spans="1:22" ht="18.75" x14ac:dyDescent="0.3">
      <c r="A16" s="12"/>
      <c r="B16" s="82">
        <f>SUM(B13:B15)</f>
        <v>0</v>
      </c>
      <c r="H16" s="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</row>
    <row r="17" spans="1:30" ht="28.5" x14ac:dyDescent="0.45">
      <c r="A17" s="83" t="s">
        <v>90</v>
      </c>
      <c r="B17" s="84">
        <f>+B4-B16</f>
        <v>46086.720000000001</v>
      </c>
      <c r="H17" s="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</row>
    <row r="18" spans="1:30" ht="21" x14ac:dyDescent="0.35">
      <c r="A18" s="12"/>
      <c r="B18" s="15" t="s">
        <v>47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30" ht="60.75" customHeight="1" x14ac:dyDescent="0.45">
      <c r="A19" s="35" t="s">
        <v>28</v>
      </c>
      <c r="B19" s="35" t="s">
        <v>9</v>
      </c>
      <c r="C19" s="35" t="s">
        <v>10</v>
      </c>
      <c r="D19" s="35" t="s">
        <v>30</v>
      </c>
      <c r="E19" s="87" t="s">
        <v>106</v>
      </c>
      <c r="F19" s="87" t="s">
        <v>107</v>
      </c>
      <c r="G19" s="33" t="s">
        <v>13</v>
      </c>
      <c r="H19" s="33" t="s">
        <v>36</v>
      </c>
      <c r="I19" s="36" t="s">
        <v>61</v>
      </c>
      <c r="J19" s="36" t="s">
        <v>35</v>
      </c>
      <c r="K19" s="36" t="s">
        <v>39</v>
      </c>
      <c r="L19" s="36" t="s">
        <v>37</v>
      </c>
      <c r="M19" s="37" t="s">
        <v>31</v>
      </c>
      <c r="N19" s="39" t="s">
        <v>32</v>
      </c>
      <c r="O19" s="36" t="s">
        <v>60</v>
      </c>
      <c r="P19" s="37" t="s">
        <v>34</v>
      </c>
      <c r="Q19" s="16" t="s">
        <v>110</v>
      </c>
      <c r="R19" s="16" t="s">
        <v>111</v>
      </c>
      <c r="S19" s="16" t="s">
        <v>42</v>
      </c>
      <c r="T19" s="85" t="s">
        <v>91</v>
      </c>
      <c r="U19" s="16" t="s">
        <v>114</v>
      </c>
      <c r="V19" s="16" t="s">
        <v>33</v>
      </c>
      <c r="W19" s="16" t="s">
        <v>115</v>
      </c>
      <c r="X19" s="16" t="s">
        <v>136</v>
      </c>
      <c r="Y19" s="16" t="s">
        <v>44</v>
      </c>
      <c r="Z19" s="16" t="s">
        <v>112</v>
      </c>
      <c r="AA19" s="16" t="s">
        <v>113</v>
      </c>
      <c r="AB19" s="104" t="s">
        <v>138</v>
      </c>
      <c r="AC19" s="104" t="s">
        <v>137</v>
      </c>
      <c r="AD19" s="104" t="s">
        <v>139</v>
      </c>
    </row>
    <row r="20" spans="1:30" x14ac:dyDescent="0.25">
      <c r="A20" s="64" t="s">
        <v>67</v>
      </c>
      <c r="B20" s="63" t="s">
        <v>73</v>
      </c>
      <c r="C20" s="45">
        <v>60000</v>
      </c>
      <c r="D20" s="61">
        <f t="shared" ref="D20:D51" si="0">IF(C20&lt;&gt;0,+H20/H$52*100,"")</f>
        <v>10.935905180494512</v>
      </c>
      <c r="E20" s="107">
        <v>8.4000000000000005E-2</v>
      </c>
      <c r="F20" s="61">
        <f>IF(C20&lt;&gt;0,C20*E20,"")</f>
        <v>5040</v>
      </c>
      <c r="G20" s="107">
        <v>8.4000000000000005E-2</v>
      </c>
      <c r="H20" s="34">
        <f>IF(C20&lt;&gt;0,C20*G20,"")</f>
        <v>5040</v>
      </c>
      <c r="I20" s="34">
        <f t="shared" ref="I20" si="1">IF(C20&lt;&gt;0,+I$15*D20/100,"")</f>
        <v>377.57087508071737</v>
      </c>
      <c r="J20" s="34">
        <f t="shared" ref="J20" si="2">IF(C20&lt;&gt;0,+J$52*$D20/100, "")</f>
        <v>16.403857770741766</v>
      </c>
      <c r="K20" s="34">
        <f t="shared" ref="K20" si="3">IF(C20&lt;&gt;0,+K$52*D20/100,"")</f>
        <v>164.03857770741769</v>
      </c>
      <c r="L20" s="34">
        <f t="shared" ref="L20" si="4">IF(C20&lt;&gt;0,+H20+K20+J20,"")</f>
        <v>5220.4424354781595</v>
      </c>
      <c r="M20" s="34">
        <f t="shared" ref="M20" si="5">IF(C20&lt;&gt;0,+L20*0.005,"")</f>
        <v>26.102212177390797</v>
      </c>
      <c r="N20" s="67">
        <f t="shared" ref="N20" si="6">IF(C20&lt;&gt;"",VLOOKUP(A20,Aranceles,3,0)*L20/100,"")</f>
        <v>0</v>
      </c>
      <c r="O20" s="67">
        <f t="shared" ref="O20" si="7">IF(C20&lt;&gt;0,+L20+M20+N20,"")</f>
        <v>5246.5446476555499</v>
      </c>
      <c r="P20" s="67">
        <f>IF(C20&lt;&gt;0,+Tabla1343238[Base Para el Iva]*B$10/100,"")</f>
        <v>786.9816971483325</v>
      </c>
      <c r="Q20" s="34">
        <f t="shared" ref="Q20" si="8">IF(C20&lt;&gt;0,+I20+J20+K20+M20+N20,"")</f>
        <v>584.11552273626762</v>
      </c>
      <c r="R20" s="34">
        <f>IF(C20&lt;&gt;0,+Q20+F20,"")</f>
        <v>5624.1155227362678</v>
      </c>
      <c r="S20" s="40">
        <f>IF(C20&lt;&gt;"",+R20/C20,"")</f>
        <v>9.3735258712271133E-2</v>
      </c>
      <c r="T20" s="41">
        <f>IF(C20&lt;&gt;"",++(Tabla1343238[[COSTO UNITARIO ]]-E20)/E20*100,"")</f>
        <v>11.589593705084674</v>
      </c>
      <c r="U20" s="48"/>
      <c r="V20" s="40">
        <f t="shared" ref="V20" si="9">IF(C20&lt;&gt;"",S20+(S20*U20/100),"")</f>
        <v>9.3735258712271133E-2</v>
      </c>
      <c r="W20" s="48"/>
      <c r="X20" s="42">
        <f t="shared" ref="X20" si="10">IF(C20&lt;&gt;"",+C20*V20,"")</f>
        <v>5624.1155227362678</v>
      </c>
      <c r="Y20" s="41">
        <f t="shared" ref="Y20" si="11">IF(C20&lt;&gt;"",+X20-R20,"")</f>
        <v>0</v>
      </c>
      <c r="Z20" s="102">
        <f>IF(C20&lt;&gt;"",+Tabla1343238[Precio de Venta en Mercado en Dolares]*C20,"")</f>
        <v>0</v>
      </c>
      <c r="AA20" s="103">
        <f>IF(C20&lt;&gt;"",+Tabla1343238[Proyeccion Ventas]-Tabla1343238[[COSTO TOTAL ]],"")</f>
        <v>-5624.1155227362678</v>
      </c>
      <c r="AB20" s="105">
        <f t="shared" ref="AB20" si="12">IF(C20&lt;&gt;"",+V20*(1 + (B$10/100)),"")</f>
        <v>0.1077955475191118</v>
      </c>
      <c r="AC20" s="48"/>
      <c r="AD20" s="105">
        <f>IF(C20&lt;&gt;"",++AB20*(1+(AC20/100)),"")</f>
        <v>0.1077955475191118</v>
      </c>
    </row>
    <row r="21" spans="1:30" x14ac:dyDescent="0.25">
      <c r="A21" s="62" t="s">
        <v>67</v>
      </c>
      <c r="B21" s="63" t="s">
        <v>118</v>
      </c>
      <c r="C21" s="45">
        <v>1000</v>
      </c>
      <c r="D21" s="61">
        <f t="shared" si="0"/>
        <v>5.6415383867630409</v>
      </c>
      <c r="E21" s="107">
        <v>2.6</v>
      </c>
      <c r="F21" s="61">
        <f t="shared" ref="F21:F51" si="13">IF(C21&lt;&gt;0,C21*E21,"")</f>
        <v>2600</v>
      </c>
      <c r="G21" s="107">
        <v>2.6</v>
      </c>
      <c r="H21" s="34">
        <f t="shared" ref="H21:H51" si="14">IF(C21&lt;&gt;0,C21*G21,"")</f>
        <v>2600</v>
      </c>
      <c r="I21" s="34">
        <f t="shared" ref="I21:I51" si="15">IF(C21&lt;&gt;0,+I$15*D21/100,"")</f>
        <v>194.7786260337034</v>
      </c>
      <c r="J21" s="34">
        <f t="shared" ref="J21:J51" si="16">IF(C21&lt;&gt;0,+J$52*$D21/100, "")</f>
        <v>8.4623075801445609</v>
      </c>
      <c r="K21" s="34">
        <f t="shared" ref="K21:K51" si="17">IF(C21&lt;&gt;0,+K$52*D21/100,"")</f>
        <v>84.623075801445609</v>
      </c>
      <c r="L21" s="34">
        <f t="shared" ref="L21:L51" si="18">IF(C21&lt;&gt;0,+H21+K21+J21,"")</f>
        <v>2693.0853833815904</v>
      </c>
      <c r="M21" s="34">
        <f t="shared" ref="M21:M51" si="19">IF(C21&lt;&gt;0,+L21*0.005,"")</f>
        <v>13.465426916907953</v>
      </c>
      <c r="N21" s="67">
        <f t="shared" ref="N21:N51" si="20">IF(C21&lt;&gt;"",VLOOKUP(A21,Aranceles,3,0)*L21/100,"")</f>
        <v>0</v>
      </c>
      <c r="O21" s="67">
        <f t="shared" ref="O21:O51" si="21">IF(C21&lt;&gt;0,+L21+M21+N21,"")</f>
        <v>2706.5508102984982</v>
      </c>
      <c r="P21" s="67">
        <f>IF(C21&lt;&gt;0,+Tabla1343238[Base Para el Iva]*B$10/100,"")</f>
        <v>405.98262154477476</v>
      </c>
      <c r="Q21" s="34">
        <f t="shared" ref="Q21:Q51" si="22">IF(C21&lt;&gt;0,+I21+J21+K21+M21+N21,"")</f>
        <v>301.32943633220157</v>
      </c>
      <c r="R21" s="34">
        <f t="shared" ref="R21:R51" si="23">IF(C21&lt;&gt;0,+Q21+F21,"")</f>
        <v>2901.3294363322016</v>
      </c>
      <c r="S21" s="40">
        <f t="shared" ref="S21:S51" si="24">IF(C21&lt;&gt;"",+R21/C21,"")</f>
        <v>2.9013294363322015</v>
      </c>
      <c r="T21" s="41">
        <f>IF(C21&lt;&gt;"",++(Tabla1343238[[COSTO UNITARIO ]]-E21)/E21*100,"")</f>
        <v>11.58959370508467</v>
      </c>
      <c r="U21" s="48"/>
      <c r="V21" s="40">
        <f t="shared" ref="V21:V51" si="25">IF(C21&lt;&gt;"",S21+(S21*U21/100),"")</f>
        <v>2.9013294363322015</v>
      </c>
      <c r="W21" s="48"/>
      <c r="X21" s="42">
        <f t="shared" ref="X21:X51" si="26">IF(C21&lt;&gt;"",+C21*V21,"")</f>
        <v>2901.3294363322016</v>
      </c>
      <c r="Y21" s="41">
        <f t="shared" ref="Y21:Y51" si="27">IF(C21&lt;&gt;"",+X21-R21,"")</f>
        <v>0</v>
      </c>
      <c r="Z21" s="102">
        <f>IF(C21&lt;&gt;"",+Tabla1343238[Precio de Venta en Mercado en Dolares]*C21,"")</f>
        <v>0</v>
      </c>
      <c r="AA21" s="103">
        <f>IF(C21&lt;&gt;"",+Tabla1343238[Proyeccion Ventas]-Tabla1343238[[COSTO TOTAL ]],"")</f>
        <v>-2901.3294363322016</v>
      </c>
      <c r="AB21" s="105">
        <f t="shared" ref="AB21:AB51" si="28">IF(C21&lt;&gt;"",+V21*(1 + (B$10/100)),"")</f>
        <v>3.3365288517820315</v>
      </c>
      <c r="AC21" s="48"/>
      <c r="AD21" s="105">
        <f t="shared" ref="AD21:AD51" si="29">IF(C21&lt;&gt;"",++AB21*(1+(AC21/100)),"")</f>
        <v>3.3365288517820315</v>
      </c>
    </row>
    <row r="22" spans="1:30" x14ac:dyDescent="0.25">
      <c r="A22" s="62" t="s">
        <v>67</v>
      </c>
      <c r="B22" s="63" t="s">
        <v>119</v>
      </c>
      <c r="C22" s="45">
        <v>500</v>
      </c>
      <c r="D22" s="61">
        <f t="shared" si="0"/>
        <v>2.4952958249144221</v>
      </c>
      <c r="E22" s="107">
        <v>2.2999999999999998</v>
      </c>
      <c r="F22" s="61">
        <f t="shared" si="13"/>
        <v>1150</v>
      </c>
      <c r="G22" s="107">
        <v>2.2999999999999998</v>
      </c>
      <c r="H22" s="34">
        <f t="shared" si="14"/>
        <v>1150</v>
      </c>
      <c r="I22" s="34">
        <f t="shared" si="15"/>
        <v>86.152084591830359</v>
      </c>
      <c r="J22" s="34">
        <f t="shared" si="16"/>
        <v>3.742943737371633</v>
      </c>
      <c r="K22" s="34">
        <f t="shared" si="17"/>
        <v>37.429437373716333</v>
      </c>
      <c r="L22" s="34">
        <f t="shared" si="18"/>
        <v>1191.172381111088</v>
      </c>
      <c r="M22" s="34">
        <f t="shared" si="19"/>
        <v>5.95586190555544</v>
      </c>
      <c r="N22" s="67">
        <f t="shared" si="20"/>
        <v>0</v>
      </c>
      <c r="O22" s="67">
        <f t="shared" si="21"/>
        <v>1197.1282430166434</v>
      </c>
      <c r="P22" s="67">
        <f>IF(C22&lt;&gt;0,+Tabla1343238[Base Para el Iva]*B$10/100,"")</f>
        <v>179.56923645249651</v>
      </c>
      <c r="Q22" s="34">
        <f t="shared" si="22"/>
        <v>133.28032760847378</v>
      </c>
      <c r="R22" s="34">
        <f t="shared" si="23"/>
        <v>1283.2803276084737</v>
      </c>
      <c r="S22" s="40">
        <f t="shared" si="24"/>
        <v>2.5665606552169473</v>
      </c>
      <c r="T22" s="41">
        <f>IF(C22&lt;&gt;"",++(Tabla1343238[[COSTO UNITARIO ]]-E22)/E22*100,"")</f>
        <v>11.589593705084674</v>
      </c>
      <c r="U22" s="48"/>
      <c r="V22" s="40">
        <f t="shared" si="25"/>
        <v>2.5665606552169473</v>
      </c>
      <c r="W22" s="48"/>
      <c r="X22" s="42">
        <f t="shared" si="26"/>
        <v>1283.2803276084737</v>
      </c>
      <c r="Y22" s="41">
        <f t="shared" si="27"/>
        <v>0</v>
      </c>
      <c r="Z22" s="102">
        <f>IF(C22&lt;&gt;"",+Tabla1343238[Precio de Venta en Mercado en Dolares]*C22,"")</f>
        <v>0</v>
      </c>
      <c r="AA22" s="103">
        <f>IF(C22&lt;&gt;"",+Tabla1343238[Proyeccion Ventas]-Tabla1343238[[COSTO TOTAL ]],"")</f>
        <v>-1283.2803276084737</v>
      </c>
      <c r="AB22" s="105">
        <f t="shared" si="28"/>
        <v>2.9515447534994892</v>
      </c>
      <c r="AC22" s="48"/>
      <c r="AD22" s="105">
        <f t="shared" si="29"/>
        <v>2.9515447534994892</v>
      </c>
    </row>
    <row r="23" spans="1:30" x14ac:dyDescent="0.25">
      <c r="A23" s="62" t="s">
        <v>67</v>
      </c>
      <c r="B23" s="63" t="s">
        <v>144</v>
      </c>
      <c r="C23" s="45">
        <v>1500</v>
      </c>
      <c r="D23" s="61">
        <f t="shared" si="0"/>
        <v>7.4858874747432651</v>
      </c>
      <c r="E23" s="107">
        <v>2.2999999999999998</v>
      </c>
      <c r="F23" s="61">
        <f t="shared" si="13"/>
        <v>3449.9999999999995</v>
      </c>
      <c r="G23" s="107">
        <v>2.2999999999999998</v>
      </c>
      <c r="H23" s="34">
        <f t="shared" si="14"/>
        <v>3449.9999999999995</v>
      </c>
      <c r="I23" s="34">
        <f t="shared" si="15"/>
        <v>258.45625377549101</v>
      </c>
      <c r="J23" s="34">
        <f t="shared" si="16"/>
        <v>11.228831212114896</v>
      </c>
      <c r="K23" s="34">
        <f t="shared" si="17"/>
        <v>112.28831212114898</v>
      </c>
      <c r="L23" s="34">
        <f t="shared" si="18"/>
        <v>3573.5171433332634</v>
      </c>
      <c r="M23" s="34">
        <f t="shared" si="19"/>
        <v>17.867585716666319</v>
      </c>
      <c r="N23" s="67">
        <f t="shared" si="20"/>
        <v>0</v>
      </c>
      <c r="O23" s="67">
        <f t="shared" si="21"/>
        <v>3591.3847290499298</v>
      </c>
      <c r="P23" s="67">
        <f>IF(C23&lt;&gt;0,+Tabla1343238[Base Para el Iva]*B$10/100,"")</f>
        <v>538.70770935748942</v>
      </c>
      <c r="Q23" s="34">
        <f t="shared" si="22"/>
        <v>399.84098282542118</v>
      </c>
      <c r="R23" s="34">
        <f t="shared" si="23"/>
        <v>3849.8409828254207</v>
      </c>
      <c r="S23" s="40">
        <f t="shared" si="24"/>
        <v>2.5665606552169473</v>
      </c>
      <c r="T23" s="41">
        <f>IF(C23&lt;&gt;"",++(Tabla1343238[[COSTO UNITARIO ]]-E23)/E23*100,"")</f>
        <v>11.589593705084674</v>
      </c>
      <c r="U23" s="48"/>
      <c r="V23" s="40">
        <f t="shared" si="25"/>
        <v>2.5665606552169473</v>
      </c>
      <c r="W23" s="48"/>
      <c r="X23" s="42">
        <f t="shared" si="26"/>
        <v>3849.8409828254212</v>
      </c>
      <c r="Y23" s="41">
        <f t="shared" si="27"/>
        <v>4.5474735088646412E-13</v>
      </c>
      <c r="Z23" s="102">
        <f>IF(C23&lt;&gt;"",+Tabla1343238[Precio de Venta en Mercado en Dolares]*C23,"")</f>
        <v>0</v>
      </c>
      <c r="AA23" s="103">
        <f>IF(C23&lt;&gt;"",+Tabla1343238[Proyeccion Ventas]-Tabla1343238[[COSTO TOTAL ]],"")</f>
        <v>-3849.8409828254207</v>
      </c>
      <c r="AB23" s="105">
        <f t="shared" si="28"/>
        <v>2.9515447534994892</v>
      </c>
      <c r="AC23" s="48"/>
      <c r="AD23" s="105">
        <f t="shared" si="29"/>
        <v>2.9515447534994892</v>
      </c>
    </row>
    <row r="24" spans="1:30" x14ac:dyDescent="0.25">
      <c r="A24" s="62" t="s">
        <v>87</v>
      </c>
      <c r="B24" s="63" t="s">
        <v>120</v>
      </c>
      <c r="C24" s="45">
        <v>120</v>
      </c>
      <c r="D24" s="61">
        <f t="shared" si="0"/>
        <v>1.1977419959589226</v>
      </c>
      <c r="E24" s="107">
        <v>4.5999999999999996</v>
      </c>
      <c r="F24" s="61">
        <f t="shared" si="13"/>
        <v>552</v>
      </c>
      <c r="G24" s="107">
        <v>4.5999999999999996</v>
      </c>
      <c r="H24" s="34">
        <f t="shared" si="14"/>
        <v>552</v>
      </c>
      <c r="I24" s="34">
        <f t="shared" si="15"/>
        <v>41.353000604078574</v>
      </c>
      <c r="J24" s="34">
        <f t="shared" si="16"/>
        <v>1.7966129939383839</v>
      </c>
      <c r="K24" s="34">
        <f t="shared" si="17"/>
        <v>17.966129939383837</v>
      </c>
      <c r="L24" s="34">
        <f t="shared" si="18"/>
        <v>571.76274293332222</v>
      </c>
      <c r="M24" s="34">
        <f t="shared" si="19"/>
        <v>2.8588137146666113</v>
      </c>
      <c r="N24" s="67">
        <f t="shared" si="20"/>
        <v>0</v>
      </c>
      <c r="O24" s="67">
        <f t="shared" si="21"/>
        <v>574.62155664798888</v>
      </c>
      <c r="P24" s="67">
        <f>IF(C24&lt;&gt;0,+Tabla1343238[Base Para el Iva]*B$10/100,"")</f>
        <v>86.193233497198321</v>
      </c>
      <c r="Q24" s="34">
        <f t="shared" si="22"/>
        <v>63.974557252067399</v>
      </c>
      <c r="R24" s="34">
        <f t="shared" si="23"/>
        <v>615.97455725206737</v>
      </c>
      <c r="S24" s="40">
        <f t="shared" si="24"/>
        <v>5.1331213104338946</v>
      </c>
      <c r="T24" s="41">
        <f>IF(C24&lt;&gt;"",++(Tabla1343238[[COSTO UNITARIO ]]-E24)/E24*100,"")</f>
        <v>11.589593705084674</v>
      </c>
      <c r="U24" s="48"/>
      <c r="V24" s="40">
        <f t="shared" si="25"/>
        <v>5.1331213104338946</v>
      </c>
      <c r="W24" s="48"/>
      <c r="X24" s="42">
        <f t="shared" si="26"/>
        <v>615.97455725206737</v>
      </c>
      <c r="Y24" s="41">
        <f t="shared" si="27"/>
        <v>0</v>
      </c>
      <c r="Z24" s="102">
        <f>IF(C24&lt;&gt;"",+Tabla1343238[Precio de Venta en Mercado en Dolares]*C24,"")</f>
        <v>0</v>
      </c>
      <c r="AA24" s="103">
        <f>IF(C24&lt;&gt;"",+Tabla1343238[Proyeccion Ventas]-Tabla1343238[[COSTO TOTAL ]],"")</f>
        <v>-615.97455725206737</v>
      </c>
      <c r="AB24" s="105">
        <f t="shared" si="28"/>
        <v>5.9030895069989784</v>
      </c>
      <c r="AC24" s="48"/>
      <c r="AD24" s="105">
        <f t="shared" si="29"/>
        <v>5.9030895069989784</v>
      </c>
    </row>
    <row r="25" spans="1:30" x14ac:dyDescent="0.25">
      <c r="A25" s="62" t="s">
        <v>87</v>
      </c>
      <c r="B25" s="63" t="s">
        <v>122</v>
      </c>
      <c r="C25" s="45">
        <v>3000</v>
      </c>
      <c r="D25" s="61">
        <f t="shared" si="0"/>
        <v>2.3434082529631093</v>
      </c>
      <c r="E25" s="107">
        <v>0.36</v>
      </c>
      <c r="F25" s="61">
        <f t="shared" si="13"/>
        <v>1080</v>
      </c>
      <c r="G25" s="107">
        <v>0.36</v>
      </c>
      <c r="H25" s="34">
        <f t="shared" si="14"/>
        <v>1080</v>
      </c>
      <c r="I25" s="34">
        <f t="shared" si="15"/>
        <v>80.90804466015372</v>
      </c>
      <c r="J25" s="34">
        <f t="shared" si="16"/>
        <v>3.5151123794446644</v>
      </c>
      <c r="K25" s="34">
        <f t="shared" si="17"/>
        <v>35.15112379444664</v>
      </c>
      <c r="L25" s="34">
        <f t="shared" si="18"/>
        <v>1118.6662361738913</v>
      </c>
      <c r="M25" s="34">
        <f t="shared" si="19"/>
        <v>5.5933311808694564</v>
      </c>
      <c r="N25" s="67">
        <f t="shared" si="20"/>
        <v>0</v>
      </c>
      <c r="O25" s="67">
        <f t="shared" si="21"/>
        <v>1124.2595673547607</v>
      </c>
      <c r="P25" s="67">
        <f>IF(C25&lt;&gt;0,+Tabla1343238[Base Para el Iva]*B$10/100,"")</f>
        <v>168.6389351032141</v>
      </c>
      <c r="Q25" s="34">
        <f t="shared" si="22"/>
        <v>125.16761201491448</v>
      </c>
      <c r="R25" s="34">
        <f t="shared" si="23"/>
        <v>1205.1676120149145</v>
      </c>
      <c r="S25" s="40">
        <f t="shared" si="24"/>
        <v>0.40172253733830482</v>
      </c>
      <c r="T25" s="41">
        <f>IF(C25&lt;&gt;"",++(Tabla1343238[[COSTO UNITARIO ]]-E25)/E25*100,"")</f>
        <v>11.589593705084676</v>
      </c>
      <c r="U25" s="48"/>
      <c r="V25" s="40">
        <f t="shared" si="25"/>
        <v>0.40172253733830482</v>
      </c>
      <c r="W25" s="48"/>
      <c r="X25" s="42">
        <f t="shared" si="26"/>
        <v>1205.1676120149145</v>
      </c>
      <c r="Y25" s="41">
        <f t="shared" si="27"/>
        <v>0</v>
      </c>
      <c r="Z25" s="102">
        <f>IF(C25&lt;&gt;"",+Tabla1343238[Precio de Venta en Mercado en Dolares]*C25,"")</f>
        <v>0</v>
      </c>
      <c r="AA25" s="103">
        <f>IF(C25&lt;&gt;"",+Tabla1343238[Proyeccion Ventas]-Tabla1343238[[COSTO TOTAL ]],"")</f>
        <v>-1205.1676120149145</v>
      </c>
      <c r="AB25" s="105">
        <f t="shared" si="28"/>
        <v>0.46198091793905049</v>
      </c>
      <c r="AC25" s="48"/>
      <c r="AD25" s="105">
        <f t="shared" si="29"/>
        <v>0.46198091793905049</v>
      </c>
    </row>
    <row r="26" spans="1:30" x14ac:dyDescent="0.25">
      <c r="A26" s="62" t="s">
        <v>87</v>
      </c>
      <c r="B26" s="63" t="s">
        <v>121</v>
      </c>
      <c r="C26" s="45">
        <v>3000</v>
      </c>
      <c r="D26" s="61">
        <f t="shared" si="0"/>
        <v>4.9471952006998974</v>
      </c>
      <c r="E26" s="107">
        <v>0.76</v>
      </c>
      <c r="F26" s="61">
        <f t="shared" si="13"/>
        <v>2280</v>
      </c>
      <c r="G26" s="107">
        <v>0.76</v>
      </c>
      <c r="H26" s="34">
        <f t="shared" si="14"/>
        <v>2280</v>
      </c>
      <c r="I26" s="34">
        <f t="shared" si="15"/>
        <v>170.8058720603245</v>
      </c>
      <c r="J26" s="34">
        <f t="shared" si="16"/>
        <v>7.4207928010498456</v>
      </c>
      <c r="K26" s="34">
        <f t="shared" si="17"/>
        <v>74.207928010498463</v>
      </c>
      <c r="L26" s="34">
        <f t="shared" si="18"/>
        <v>2361.6287208115482</v>
      </c>
      <c r="M26" s="34">
        <f t="shared" si="19"/>
        <v>11.808143604057742</v>
      </c>
      <c r="N26" s="67">
        <f t="shared" si="20"/>
        <v>0</v>
      </c>
      <c r="O26" s="67">
        <f t="shared" si="21"/>
        <v>2373.4368644156061</v>
      </c>
      <c r="P26" s="67">
        <f>IF(C26&lt;&gt;0,+Tabla1343238[Base Para el Iva]*B$10/100,"")</f>
        <v>356.0155296623409</v>
      </c>
      <c r="Q26" s="34">
        <f t="shared" si="22"/>
        <v>264.2427364759306</v>
      </c>
      <c r="R26" s="34">
        <f t="shared" si="23"/>
        <v>2544.2427364759305</v>
      </c>
      <c r="S26" s="40">
        <f t="shared" si="24"/>
        <v>0.84808091215864356</v>
      </c>
      <c r="T26" s="41">
        <f>IF(C26&lt;&gt;"",++(Tabla1343238[[COSTO UNITARIO ]]-E26)/E26*100,"")</f>
        <v>11.589593705084678</v>
      </c>
      <c r="U26" s="48"/>
      <c r="V26" s="40">
        <f t="shared" si="25"/>
        <v>0.84808091215864356</v>
      </c>
      <c r="W26" s="48"/>
      <c r="X26" s="42">
        <f t="shared" si="26"/>
        <v>2544.2427364759305</v>
      </c>
      <c r="Y26" s="41">
        <f t="shared" si="27"/>
        <v>0</v>
      </c>
      <c r="Z26" s="102">
        <f>IF(C26&lt;&gt;"",+Tabla1343238[Precio de Venta en Mercado en Dolares]*C26,"")</f>
        <v>0</v>
      </c>
      <c r="AA26" s="103">
        <f>IF(C26&lt;&gt;"",+Tabla1343238[Proyeccion Ventas]-Tabla1343238[[COSTO TOTAL ]],"")</f>
        <v>-2544.2427364759305</v>
      </c>
      <c r="AB26" s="105">
        <f t="shared" si="28"/>
        <v>0.97529304898244007</v>
      </c>
      <c r="AC26" s="48"/>
      <c r="AD26" s="105">
        <f t="shared" si="29"/>
        <v>0.97529304898244007</v>
      </c>
    </row>
    <row r="27" spans="1:30" x14ac:dyDescent="0.25">
      <c r="A27" s="62" t="s">
        <v>67</v>
      </c>
      <c r="B27" s="63" t="s">
        <v>123</v>
      </c>
      <c r="C27" s="45">
        <v>11520</v>
      </c>
      <c r="D27" s="61">
        <f t="shared" si="0"/>
        <v>1.7247484741808488</v>
      </c>
      <c r="E27" s="107">
        <v>6.9000000000000006E-2</v>
      </c>
      <c r="F27" s="61">
        <f t="shared" si="13"/>
        <v>794.88000000000011</v>
      </c>
      <c r="G27" s="107">
        <v>6.9000000000000006E-2</v>
      </c>
      <c r="H27" s="34">
        <f t="shared" si="14"/>
        <v>794.88000000000011</v>
      </c>
      <c r="I27" s="34">
        <f t="shared" si="15"/>
        <v>59.548320869873152</v>
      </c>
      <c r="J27" s="34">
        <f t="shared" si="16"/>
        <v>2.5871227112712734</v>
      </c>
      <c r="K27" s="34">
        <f t="shared" si="17"/>
        <v>25.871227112712731</v>
      </c>
      <c r="L27" s="34">
        <f t="shared" si="18"/>
        <v>823.33834982398412</v>
      </c>
      <c r="M27" s="34">
        <f t="shared" si="19"/>
        <v>4.1166917491199211</v>
      </c>
      <c r="N27" s="67">
        <f t="shared" si="20"/>
        <v>0</v>
      </c>
      <c r="O27" s="67">
        <f t="shared" si="21"/>
        <v>827.45504157310404</v>
      </c>
      <c r="P27" s="67">
        <f>IF(C27&lt;&gt;0,+Tabla1343238[Base Para el Iva]*B$10/100,"")</f>
        <v>124.1182562359656</v>
      </c>
      <c r="Q27" s="34">
        <f t="shared" si="22"/>
        <v>92.123362442977083</v>
      </c>
      <c r="R27" s="34">
        <f t="shared" si="23"/>
        <v>887.00336244297716</v>
      </c>
      <c r="S27" s="40">
        <f t="shared" si="24"/>
        <v>7.6996819656508439E-2</v>
      </c>
      <c r="T27" s="41">
        <f>IF(C27&lt;&gt;"",++(Tabla1343238[[COSTO UNITARIO ]]-E27)/E27*100,"")</f>
        <v>11.589593705084685</v>
      </c>
      <c r="U27" s="48"/>
      <c r="V27" s="40">
        <f t="shared" si="25"/>
        <v>7.6996819656508439E-2</v>
      </c>
      <c r="W27" s="48"/>
      <c r="X27" s="42">
        <f t="shared" si="26"/>
        <v>887.00336244297716</v>
      </c>
      <c r="Y27" s="41">
        <f t="shared" si="27"/>
        <v>0</v>
      </c>
      <c r="Z27" s="102">
        <f>IF(C27&lt;&gt;"",+Tabla1343238[Precio de Venta en Mercado en Dolares]*C27,"")</f>
        <v>0</v>
      </c>
      <c r="AA27" s="103">
        <f>IF(C27&lt;&gt;"",+Tabla1343238[Proyeccion Ventas]-Tabla1343238[[COSTO TOTAL ]],"")</f>
        <v>-887.00336244297716</v>
      </c>
      <c r="AB27" s="105">
        <f t="shared" si="28"/>
        <v>8.8546342604984701E-2</v>
      </c>
      <c r="AC27" s="48"/>
      <c r="AD27" s="105">
        <f t="shared" si="29"/>
        <v>8.8546342604984701E-2</v>
      </c>
    </row>
    <row r="28" spans="1:30" x14ac:dyDescent="0.25">
      <c r="A28" s="62" t="s">
        <v>87</v>
      </c>
      <c r="B28" s="63" t="s">
        <v>124</v>
      </c>
      <c r="C28" s="45">
        <v>2880</v>
      </c>
      <c r="D28" s="61">
        <f t="shared" si="0"/>
        <v>0.7373924635990583</v>
      </c>
      <c r="E28" s="107">
        <v>0.11799999999999999</v>
      </c>
      <c r="F28" s="61">
        <f t="shared" si="13"/>
        <v>339.84</v>
      </c>
      <c r="G28" s="107">
        <v>0.11799999999999999</v>
      </c>
      <c r="H28" s="34">
        <f t="shared" si="14"/>
        <v>339.84</v>
      </c>
      <c r="I28" s="34">
        <f t="shared" si="15"/>
        <v>25.459064719728367</v>
      </c>
      <c r="J28" s="34">
        <f t="shared" si="16"/>
        <v>1.1060886953985873</v>
      </c>
      <c r="K28" s="34">
        <f t="shared" si="17"/>
        <v>11.060886953985875</v>
      </c>
      <c r="L28" s="34">
        <f t="shared" si="18"/>
        <v>352.0069756493844</v>
      </c>
      <c r="M28" s="34">
        <f t="shared" si="19"/>
        <v>1.760034878246922</v>
      </c>
      <c r="N28" s="67">
        <f t="shared" si="20"/>
        <v>0</v>
      </c>
      <c r="O28" s="67">
        <f t="shared" si="21"/>
        <v>353.76701052763133</v>
      </c>
      <c r="P28" s="67">
        <f>IF(C28&lt;&gt;0,+Tabla1343238[Base Para el Iva]*B$10/100,"")</f>
        <v>53.065051579144701</v>
      </c>
      <c r="Q28" s="34">
        <f t="shared" si="22"/>
        <v>39.386075247359749</v>
      </c>
      <c r="R28" s="34">
        <f t="shared" si="23"/>
        <v>379.22607524735974</v>
      </c>
      <c r="S28" s="40">
        <f t="shared" si="24"/>
        <v>0.13167572057199992</v>
      </c>
      <c r="T28" s="41">
        <f>IF(C28&lt;&gt;"",++(Tabla1343238[[COSTO UNITARIO ]]-E28)/E28*100,"")</f>
        <v>11.589593705084681</v>
      </c>
      <c r="U28" s="48"/>
      <c r="V28" s="40">
        <f t="shared" si="25"/>
        <v>0.13167572057199992</v>
      </c>
      <c r="W28" s="48"/>
      <c r="X28" s="42">
        <f t="shared" si="26"/>
        <v>379.22607524735974</v>
      </c>
      <c r="Y28" s="41">
        <f t="shared" si="27"/>
        <v>0</v>
      </c>
      <c r="Z28" s="102">
        <f>IF(C28&lt;&gt;"",+Tabla1343238[Precio de Venta en Mercado en Dolares]*C28,"")</f>
        <v>0</v>
      </c>
      <c r="AA28" s="103">
        <f>IF(C28&lt;&gt;"",+Tabla1343238[Proyeccion Ventas]-Tabla1343238[[COSTO TOTAL ]],"")</f>
        <v>-379.22607524735974</v>
      </c>
      <c r="AB28" s="105">
        <f t="shared" si="28"/>
        <v>0.15142707865779989</v>
      </c>
      <c r="AC28" s="48"/>
      <c r="AD28" s="105">
        <f t="shared" si="29"/>
        <v>0.15142707865779989</v>
      </c>
    </row>
    <row r="29" spans="1:30" x14ac:dyDescent="0.25">
      <c r="A29" s="62" t="s">
        <v>67</v>
      </c>
      <c r="B29" s="63" t="s">
        <v>125</v>
      </c>
      <c r="C29" s="45">
        <v>40000</v>
      </c>
      <c r="D29" s="61">
        <f t="shared" si="0"/>
        <v>7.1170176571472217</v>
      </c>
      <c r="E29" s="107">
        <v>8.2000000000000003E-2</v>
      </c>
      <c r="F29" s="61">
        <f t="shared" si="13"/>
        <v>3280</v>
      </c>
      <c r="G29" s="107">
        <v>8.2000000000000003E-2</v>
      </c>
      <c r="H29" s="34">
        <f t="shared" si="14"/>
        <v>3280</v>
      </c>
      <c r="I29" s="34">
        <f t="shared" si="15"/>
        <v>245.72072822713355</v>
      </c>
      <c r="J29" s="34">
        <f t="shared" si="16"/>
        <v>10.675526485720832</v>
      </c>
      <c r="K29" s="34">
        <f t="shared" si="17"/>
        <v>106.75526485720833</v>
      </c>
      <c r="L29" s="34">
        <f t="shared" si="18"/>
        <v>3397.4307913429288</v>
      </c>
      <c r="M29" s="34">
        <f t="shared" si="19"/>
        <v>16.987153956714643</v>
      </c>
      <c r="N29" s="67">
        <f t="shared" si="20"/>
        <v>0</v>
      </c>
      <c r="O29" s="67">
        <f t="shared" si="21"/>
        <v>3414.4179452996436</v>
      </c>
      <c r="P29" s="67">
        <f>IF(C29&lt;&gt;0,+Tabla1343238[Base Para el Iva]*B$10/100,"")</f>
        <v>512.16269179494657</v>
      </c>
      <c r="Q29" s="34">
        <f t="shared" si="22"/>
        <v>380.13867352677732</v>
      </c>
      <c r="R29" s="34">
        <f t="shared" si="23"/>
        <v>3660.1386735267774</v>
      </c>
      <c r="S29" s="40">
        <f t="shared" si="24"/>
        <v>9.1503466838169442E-2</v>
      </c>
      <c r="T29" s="41">
        <f>IF(C29&lt;&gt;"",++(Tabla1343238[[COSTO UNITARIO ]]-E29)/E29*100,"")</f>
        <v>11.589593705084681</v>
      </c>
      <c r="U29" s="48"/>
      <c r="V29" s="40">
        <f t="shared" si="25"/>
        <v>9.1503466838169442E-2</v>
      </c>
      <c r="W29" s="48"/>
      <c r="X29" s="42">
        <f t="shared" si="26"/>
        <v>3660.1386735267779</v>
      </c>
      <c r="Y29" s="41">
        <f t="shared" si="27"/>
        <v>4.5474735088646412E-13</v>
      </c>
      <c r="Z29" s="102">
        <f>IF(C29&lt;&gt;"",+Tabla1343238[Precio de Venta en Mercado en Dolares]*C29,"")</f>
        <v>0</v>
      </c>
      <c r="AA29" s="103">
        <f>IF(C29&lt;&gt;"",+Tabla1343238[Proyeccion Ventas]-Tabla1343238[[COSTO TOTAL ]],"")</f>
        <v>-3660.1386735267774</v>
      </c>
      <c r="AB29" s="105">
        <f t="shared" si="28"/>
        <v>0.10522898686389486</v>
      </c>
      <c r="AC29" s="48"/>
      <c r="AD29" s="105">
        <f t="shared" si="29"/>
        <v>0.10522898686389486</v>
      </c>
    </row>
    <row r="30" spans="1:30" x14ac:dyDescent="0.25">
      <c r="A30" s="62" t="s">
        <v>67</v>
      </c>
      <c r="B30" s="63" t="s">
        <v>126</v>
      </c>
      <c r="C30" s="45">
        <v>200</v>
      </c>
      <c r="D30" s="61">
        <f t="shared" si="0"/>
        <v>2.7339762951236279</v>
      </c>
      <c r="E30" s="107">
        <v>6.3</v>
      </c>
      <c r="F30" s="61">
        <f t="shared" si="13"/>
        <v>1260</v>
      </c>
      <c r="G30" s="107">
        <v>6.3</v>
      </c>
      <c r="H30" s="34">
        <f t="shared" si="14"/>
        <v>1260</v>
      </c>
      <c r="I30" s="34">
        <f t="shared" si="15"/>
        <v>94.392718770179343</v>
      </c>
      <c r="J30" s="34">
        <f t="shared" si="16"/>
        <v>4.1009644426854415</v>
      </c>
      <c r="K30" s="34">
        <f t="shared" si="17"/>
        <v>41.009644426854422</v>
      </c>
      <c r="L30" s="34">
        <f t="shared" si="18"/>
        <v>1305.1106088695399</v>
      </c>
      <c r="M30" s="34">
        <f t="shared" si="19"/>
        <v>6.5255530443476992</v>
      </c>
      <c r="N30" s="67">
        <f t="shared" si="20"/>
        <v>0</v>
      </c>
      <c r="O30" s="67">
        <f t="shared" si="21"/>
        <v>1311.6361619138875</v>
      </c>
      <c r="P30" s="67">
        <f>IF(C30&lt;&gt;0,+Tabla1343238[Base Para el Iva]*B$10/100,"")</f>
        <v>196.74542428708313</v>
      </c>
      <c r="Q30" s="34">
        <f t="shared" si="22"/>
        <v>146.02888068406691</v>
      </c>
      <c r="R30" s="34">
        <f t="shared" si="23"/>
        <v>1406.028880684067</v>
      </c>
      <c r="S30" s="40">
        <f t="shared" si="24"/>
        <v>7.0301444034203344</v>
      </c>
      <c r="T30" s="41">
        <f>IF(C30&lt;&gt;"",++(Tabla1343238[[COSTO UNITARIO ]]-E30)/E30*100,"")</f>
        <v>11.589593705084676</v>
      </c>
      <c r="U30" s="48"/>
      <c r="V30" s="40">
        <f t="shared" si="25"/>
        <v>7.0301444034203344</v>
      </c>
      <c r="W30" s="48"/>
      <c r="X30" s="42">
        <f t="shared" si="26"/>
        <v>1406.028880684067</v>
      </c>
      <c r="Y30" s="41">
        <f t="shared" si="27"/>
        <v>0</v>
      </c>
      <c r="Z30" s="102">
        <f>IF(C30&lt;&gt;"",+Tabla1343238[Precio de Venta en Mercado en Dolares]*C30,"")</f>
        <v>0</v>
      </c>
      <c r="AA30" s="103">
        <f>IF(C30&lt;&gt;"",+Tabla1343238[Proyeccion Ventas]-Tabla1343238[[COSTO TOTAL ]],"")</f>
        <v>-1406.028880684067</v>
      </c>
      <c r="AB30" s="105">
        <f t="shared" si="28"/>
        <v>8.0846660639333834</v>
      </c>
      <c r="AC30" s="48"/>
      <c r="AD30" s="105">
        <f t="shared" si="29"/>
        <v>8.0846660639333834</v>
      </c>
    </row>
    <row r="31" spans="1:30" x14ac:dyDescent="0.25">
      <c r="A31" s="62" t="s">
        <v>75</v>
      </c>
      <c r="B31" s="63" t="s">
        <v>127</v>
      </c>
      <c r="C31" s="45">
        <v>1200</v>
      </c>
      <c r="D31" s="61">
        <f t="shared" si="0"/>
        <v>0.78113608432103654</v>
      </c>
      <c r="E31" s="107">
        <v>0.3</v>
      </c>
      <c r="F31" s="61">
        <f t="shared" si="13"/>
        <v>360</v>
      </c>
      <c r="G31" s="107">
        <v>0.3</v>
      </c>
      <c r="H31" s="34">
        <f t="shared" si="14"/>
        <v>360</v>
      </c>
      <c r="I31" s="34">
        <f t="shared" si="15"/>
        <v>26.969348220051241</v>
      </c>
      <c r="J31" s="34">
        <f t="shared" si="16"/>
        <v>1.1717041264815549</v>
      </c>
      <c r="K31" s="34">
        <f t="shared" si="17"/>
        <v>11.717041264815547</v>
      </c>
      <c r="L31" s="34">
        <f t="shared" si="18"/>
        <v>372.88874539129705</v>
      </c>
      <c r="M31" s="34">
        <f t="shared" si="19"/>
        <v>1.8644437269564853</v>
      </c>
      <c r="N31" s="67">
        <f t="shared" si="20"/>
        <v>0</v>
      </c>
      <c r="O31" s="67">
        <f t="shared" si="21"/>
        <v>374.75318911825354</v>
      </c>
      <c r="P31" s="67">
        <f>IF(C31&lt;&gt;0,+Tabla1343238[Base Para el Iva]*B$10/100,"")</f>
        <v>56.212978367738032</v>
      </c>
      <c r="Q31" s="34">
        <f t="shared" si="22"/>
        <v>41.722537338304832</v>
      </c>
      <c r="R31" s="34">
        <f t="shared" si="23"/>
        <v>401.72253733830485</v>
      </c>
      <c r="S31" s="40">
        <f t="shared" si="24"/>
        <v>0.33476878111525404</v>
      </c>
      <c r="T31" s="41">
        <f>IF(C31&lt;&gt;"",++(Tabla1343238[[COSTO UNITARIO ]]-E31)/E31*100,"")</f>
        <v>11.589593705084686</v>
      </c>
      <c r="U31" s="48"/>
      <c r="V31" s="40">
        <f t="shared" si="25"/>
        <v>0.33476878111525404</v>
      </c>
      <c r="W31" s="48"/>
      <c r="X31" s="42">
        <f t="shared" si="26"/>
        <v>401.72253733830485</v>
      </c>
      <c r="Y31" s="41">
        <f t="shared" si="27"/>
        <v>0</v>
      </c>
      <c r="Z31" s="102">
        <f>IF(C31&lt;&gt;"",+Tabla1343238[Precio de Venta en Mercado en Dolares]*C31,"")</f>
        <v>0</v>
      </c>
      <c r="AA31" s="103">
        <f>IF(C31&lt;&gt;"",+Tabla1343238[Proyeccion Ventas]-Tabla1343238[[COSTO TOTAL ]],"")</f>
        <v>-401.72253733830485</v>
      </c>
      <c r="AB31" s="105">
        <f t="shared" si="28"/>
        <v>0.3849840982825421</v>
      </c>
      <c r="AC31" s="48"/>
      <c r="AD31" s="105">
        <f t="shared" si="29"/>
        <v>0.3849840982825421</v>
      </c>
    </row>
    <row r="32" spans="1:30" x14ac:dyDescent="0.25">
      <c r="A32" s="64" t="s">
        <v>133</v>
      </c>
      <c r="B32" s="63" t="s">
        <v>129</v>
      </c>
      <c r="C32" s="45">
        <v>10080</v>
      </c>
      <c r="D32" s="61">
        <f t="shared" si="0"/>
        <v>31.714125023434082</v>
      </c>
      <c r="E32" s="107">
        <v>1.45</v>
      </c>
      <c r="F32" s="61">
        <f t="shared" si="13"/>
        <v>14616</v>
      </c>
      <c r="G32" s="107">
        <v>1.45</v>
      </c>
      <c r="H32" s="34">
        <f t="shared" si="14"/>
        <v>14616</v>
      </c>
      <c r="I32" s="34">
        <f t="shared" si="15"/>
        <v>1094.9555377340805</v>
      </c>
      <c r="J32" s="34">
        <f t="shared" si="16"/>
        <v>47.571187535151118</v>
      </c>
      <c r="K32" s="34">
        <f t="shared" si="17"/>
        <v>475.71187535151125</v>
      </c>
      <c r="L32" s="34">
        <f t="shared" si="18"/>
        <v>15139.283062886663</v>
      </c>
      <c r="M32" s="34">
        <f t="shared" si="19"/>
        <v>75.696415314433324</v>
      </c>
      <c r="N32" s="67">
        <f t="shared" si="20"/>
        <v>0</v>
      </c>
      <c r="O32" s="67">
        <f t="shared" si="21"/>
        <v>15214.979478201096</v>
      </c>
      <c r="P32" s="67">
        <f>IF(C32&lt;&gt;0,+Tabla1343238[Base Para el Iva]*B$10/100,"")</f>
        <v>2282.2469217301641</v>
      </c>
      <c r="Q32" s="34">
        <f t="shared" si="22"/>
        <v>1693.9350159351761</v>
      </c>
      <c r="R32" s="34">
        <f t="shared" si="23"/>
        <v>16309.935015935176</v>
      </c>
      <c r="S32" s="40">
        <f t="shared" si="24"/>
        <v>1.6180491087237279</v>
      </c>
      <c r="T32" s="41">
        <f>IF(C32&lt;&gt;"",++(Tabla1343238[[COSTO UNITARIO ]]-E32)/E32*100,"")</f>
        <v>11.589593705084685</v>
      </c>
      <c r="U32" s="48"/>
      <c r="V32" s="40">
        <f t="shared" si="25"/>
        <v>1.6180491087237279</v>
      </c>
      <c r="W32" s="48"/>
      <c r="X32" s="42">
        <f t="shared" si="26"/>
        <v>16309.935015935176</v>
      </c>
      <c r="Y32" s="41">
        <f t="shared" si="27"/>
        <v>0</v>
      </c>
      <c r="Z32" s="102">
        <f>IF(C32&lt;&gt;"",+Tabla1343238[Precio de Venta en Mercado en Dolares]*C32,"")</f>
        <v>0</v>
      </c>
      <c r="AA32" s="103">
        <f>IF(C32&lt;&gt;"",+Tabla1343238[Proyeccion Ventas]-Tabla1343238[[COSTO TOTAL ]],"")</f>
        <v>-16309.935015935176</v>
      </c>
      <c r="AB32" s="105">
        <f t="shared" si="28"/>
        <v>1.8607564750322869</v>
      </c>
      <c r="AC32" s="48"/>
      <c r="AD32" s="105">
        <f t="shared" si="29"/>
        <v>1.8607564750322869</v>
      </c>
    </row>
    <row r="33" spans="1:30" x14ac:dyDescent="0.25">
      <c r="A33" s="64" t="s">
        <v>88</v>
      </c>
      <c r="B33" s="63" t="s">
        <v>130</v>
      </c>
      <c r="C33" s="45">
        <v>20000</v>
      </c>
      <c r="D33" s="61">
        <f t="shared" si="0"/>
        <v>3.9056804216051821</v>
      </c>
      <c r="E33" s="107">
        <v>0.09</v>
      </c>
      <c r="F33" s="61">
        <f t="shared" si="13"/>
        <v>1800</v>
      </c>
      <c r="G33" s="107">
        <v>0.09</v>
      </c>
      <c r="H33" s="34">
        <f t="shared" si="14"/>
        <v>1800</v>
      </c>
      <c r="I33" s="34">
        <f t="shared" si="15"/>
        <v>134.8467411002562</v>
      </c>
      <c r="J33" s="34">
        <f t="shared" si="16"/>
        <v>5.8585206324077728</v>
      </c>
      <c r="K33" s="34">
        <f t="shared" si="17"/>
        <v>58.585206324077738</v>
      </c>
      <c r="L33" s="34">
        <f t="shared" si="18"/>
        <v>1864.4437269564855</v>
      </c>
      <c r="M33" s="34">
        <f t="shared" si="19"/>
        <v>9.3222186347824287</v>
      </c>
      <c r="N33" s="67">
        <f t="shared" si="20"/>
        <v>372.88874539129711</v>
      </c>
      <c r="O33" s="67">
        <f t="shared" si="21"/>
        <v>2246.6546909825652</v>
      </c>
      <c r="P33" s="67">
        <f>IF(C33&lt;&gt;0,+Tabla1343238[Base Para el Iva]*B$10/100,"")</f>
        <v>336.9982036473848</v>
      </c>
      <c r="Q33" s="34">
        <f t="shared" si="22"/>
        <v>581.50143208282122</v>
      </c>
      <c r="R33" s="34">
        <f t="shared" si="23"/>
        <v>2381.5014320828213</v>
      </c>
      <c r="S33" s="40">
        <f t="shared" si="24"/>
        <v>0.11907507160414106</v>
      </c>
      <c r="T33" s="41">
        <f>IF(C33&lt;&gt;"",++(Tabla1343238[[COSTO UNITARIO ]]-E33)/E33*100,"")</f>
        <v>32.305635115712292</v>
      </c>
      <c r="U33" s="48"/>
      <c r="V33" s="40">
        <f t="shared" si="25"/>
        <v>0.11907507160414106</v>
      </c>
      <c r="W33" s="48"/>
      <c r="X33" s="42">
        <f t="shared" si="26"/>
        <v>2381.5014320828213</v>
      </c>
      <c r="Y33" s="41">
        <f t="shared" si="27"/>
        <v>0</v>
      </c>
      <c r="Z33" s="102">
        <f>IF(C33&lt;&gt;"",+Tabla1343238[Precio de Venta en Mercado en Dolares]*C33,"")</f>
        <v>0</v>
      </c>
      <c r="AA33" s="103">
        <f>IF(C33&lt;&gt;"",+Tabla1343238[Proyeccion Ventas]-Tabla1343238[[COSTO TOTAL ]],"")</f>
        <v>-2381.5014320828213</v>
      </c>
      <c r="AB33" s="105">
        <f t="shared" si="28"/>
        <v>0.13693633234476221</v>
      </c>
      <c r="AC33" s="48"/>
      <c r="AD33" s="105">
        <f t="shared" si="29"/>
        <v>0.13693633234476221</v>
      </c>
    </row>
    <row r="34" spans="1:30" x14ac:dyDescent="0.25">
      <c r="A34" s="62" t="s">
        <v>67</v>
      </c>
      <c r="B34" s="63" t="s">
        <v>71</v>
      </c>
      <c r="C34" s="45">
        <v>15000</v>
      </c>
      <c r="D34" s="61">
        <f t="shared" si="0"/>
        <v>9.1132543170787592</v>
      </c>
      <c r="E34" s="107">
        <v>0.28000000000000003</v>
      </c>
      <c r="F34" s="61">
        <f t="shared" si="13"/>
        <v>4200</v>
      </c>
      <c r="G34" s="107">
        <v>0.28000000000000003</v>
      </c>
      <c r="H34" s="34">
        <f t="shared" si="14"/>
        <v>4200</v>
      </c>
      <c r="I34" s="34">
        <f t="shared" si="15"/>
        <v>314.64239590059782</v>
      </c>
      <c r="J34" s="34">
        <f t="shared" si="16"/>
        <v>13.669881475618137</v>
      </c>
      <c r="K34" s="34">
        <f t="shared" si="17"/>
        <v>136.69881475618138</v>
      </c>
      <c r="L34" s="34">
        <f t="shared" si="18"/>
        <v>4350.3686962317997</v>
      </c>
      <c r="M34" s="34">
        <f t="shared" si="19"/>
        <v>21.751843481159</v>
      </c>
      <c r="N34" s="67">
        <f t="shared" si="20"/>
        <v>0</v>
      </c>
      <c r="O34" s="67">
        <f t="shared" si="21"/>
        <v>4372.1205397129588</v>
      </c>
      <c r="P34" s="67">
        <f>IF(C34&lt;&gt;0,+Tabla1343238[Base Para el Iva]*B$10/100,"")</f>
        <v>655.81808095694385</v>
      </c>
      <c r="Q34" s="34">
        <f t="shared" si="22"/>
        <v>486.76293561355635</v>
      </c>
      <c r="R34" s="34">
        <f t="shared" si="23"/>
        <v>4686.7629356135567</v>
      </c>
      <c r="S34" s="40">
        <f t="shared" si="24"/>
        <v>0.31245086237423714</v>
      </c>
      <c r="T34" s="41">
        <f>IF(C34&lt;&gt;"",++(Tabla1343238[[COSTO UNITARIO ]]-E34)/E34*100,"")</f>
        <v>11.589593705084681</v>
      </c>
      <c r="U34" s="48"/>
      <c r="V34" s="40">
        <f t="shared" si="25"/>
        <v>0.31245086237423714</v>
      </c>
      <c r="W34" s="48"/>
      <c r="X34" s="42">
        <f t="shared" si="26"/>
        <v>4686.7629356135567</v>
      </c>
      <c r="Y34" s="41">
        <f t="shared" si="27"/>
        <v>0</v>
      </c>
      <c r="Z34" s="102">
        <f>IF(C34&lt;&gt;"",+Tabla1343238[Precio de Venta en Mercado en Dolares]*C34,"")</f>
        <v>0</v>
      </c>
      <c r="AA34" s="103">
        <f>IF(C34&lt;&gt;"",+Tabla1343238[Proyeccion Ventas]-Tabla1343238[[COSTO TOTAL ]],"")</f>
        <v>-4686.7629356135567</v>
      </c>
      <c r="AB34" s="105">
        <f t="shared" si="28"/>
        <v>0.35931849173037267</v>
      </c>
      <c r="AC34" s="48"/>
      <c r="AD34" s="105">
        <f t="shared" si="29"/>
        <v>0.35931849173037267</v>
      </c>
    </row>
    <row r="35" spans="1:30" x14ac:dyDescent="0.25">
      <c r="A35" s="64" t="s">
        <v>67</v>
      </c>
      <c r="B35" s="63" t="s">
        <v>131</v>
      </c>
      <c r="C35" s="45">
        <v>2000</v>
      </c>
      <c r="D35" s="61">
        <f t="shared" si="0"/>
        <v>0.7594378597565633</v>
      </c>
      <c r="E35" s="107">
        <v>0.17499999999999999</v>
      </c>
      <c r="F35" s="61">
        <f t="shared" si="13"/>
        <v>350</v>
      </c>
      <c r="G35" s="107">
        <v>0.17499999999999999</v>
      </c>
      <c r="H35" s="34">
        <f t="shared" si="14"/>
        <v>350</v>
      </c>
      <c r="I35" s="34">
        <f t="shared" si="15"/>
        <v>26.220199658383152</v>
      </c>
      <c r="J35" s="34">
        <f t="shared" si="16"/>
        <v>1.1391567896348449</v>
      </c>
      <c r="K35" s="34">
        <f t="shared" si="17"/>
        <v>11.39156789634845</v>
      </c>
      <c r="L35" s="34">
        <f t="shared" si="18"/>
        <v>362.53072468598333</v>
      </c>
      <c r="M35" s="34">
        <f t="shared" si="19"/>
        <v>1.8126536234299166</v>
      </c>
      <c r="N35" s="67">
        <f t="shared" si="20"/>
        <v>0</v>
      </c>
      <c r="O35" s="67">
        <f t="shared" si="21"/>
        <v>364.34337830941325</v>
      </c>
      <c r="P35" s="67">
        <f>IF(C35&lt;&gt;0,+Tabla1343238[Base Para el Iva]*B$10/100,"")</f>
        <v>54.651506746411989</v>
      </c>
      <c r="Q35" s="34">
        <f t="shared" si="22"/>
        <v>40.563577967796363</v>
      </c>
      <c r="R35" s="34">
        <f t="shared" si="23"/>
        <v>390.56357796779639</v>
      </c>
      <c r="S35" s="40">
        <f t="shared" si="24"/>
        <v>0.1952817889838982</v>
      </c>
      <c r="T35" s="41">
        <f>IF(C35&lt;&gt;"",++(Tabla1343238[[COSTO UNITARIO ]]-E35)/E35*100,"")</f>
        <v>11.589593705084692</v>
      </c>
      <c r="U35" s="48"/>
      <c r="V35" s="40">
        <f t="shared" si="25"/>
        <v>0.1952817889838982</v>
      </c>
      <c r="W35" s="48"/>
      <c r="X35" s="42">
        <f t="shared" si="26"/>
        <v>390.56357796779639</v>
      </c>
      <c r="Y35" s="41">
        <f t="shared" si="27"/>
        <v>0</v>
      </c>
      <c r="Z35" s="102">
        <f>IF(C35&lt;&gt;"",+Tabla1343238[Precio de Venta en Mercado en Dolares]*C35,"")</f>
        <v>0</v>
      </c>
      <c r="AA35" s="103">
        <f>IF(C35&lt;&gt;"",+Tabla1343238[Proyeccion Ventas]-Tabla1343238[[COSTO TOTAL ]],"")</f>
        <v>-390.56357796779639</v>
      </c>
      <c r="AB35" s="105">
        <f t="shared" si="28"/>
        <v>0.22457405733148292</v>
      </c>
      <c r="AC35" s="48"/>
      <c r="AD35" s="105">
        <f t="shared" si="29"/>
        <v>0.22457405733148292</v>
      </c>
    </row>
    <row r="36" spans="1:30" x14ac:dyDescent="0.25">
      <c r="A36" s="64" t="s">
        <v>67</v>
      </c>
      <c r="B36" s="63" t="s">
        <v>132</v>
      </c>
      <c r="C36" s="45">
        <v>2000</v>
      </c>
      <c r="D36" s="61">
        <f t="shared" si="0"/>
        <v>0.63792780219551315</v>
      </c>
      <c r="E36" s="107">
        <v>0.14699999999999999</v>
      </c>
      <c r="F36" s="61">
        <f t="shared" si="13"/>
        <v>294</v>
      </c>
      <c r="G36" s="107">
        <v>0.14699999999999999</v>
      </c>
      <c r="H36" s="34">
        <f t="shared" si="14"/>
        <v>294</v>
      </c>
      <c r="I36" s="34">
        <f t="shared" si="15"/>
        <v>22.024967713041846</v>
      </c>
      <c r="J36" s="34">
        <f t="shared" si="16"/>
        <v>0.95689170329326967</v>
      </c>
      <c r="K36" s="34">
        <f t="shared" si="17"/>
        <v>9.5689170329326974</v>
      </c>
      <c r="L36" s="34">
        <f t="shared" si="18"/>
        <v>304.52580873622594</v>
      </c>
      <c r="M36" s="34">
        <f t="shared" si="19"/>
        <v>1.5226290436811298</v>
      </c>
      <c r="N36" s="67">
        <f t="shared" si="20"/>
        <v>0</v>
      </c>
      <c r="O36" s="67">
        <f t="shared" si="21"/>
        <v>306.04843777990709</v>
      </c>
      <c r="P36" s="67">
        <f>IF(C36&lt;&gt;0,+Tabla1343238[Base Para el Iva]*B$10/100,"")</f>
        <v>45.907265666986056</v>
      </c>
      <c r="Q36" s="34">
        <f t="shared" si="22"/>
        <v>34.073405492948943</v>
      </c>
      <c r="R36" s="34">
        <f t="shared" si="23"/>
        <v>328.07340549294895</v>
      </c>
      <c r="S36" s="40">
        <f t="shared" si="24"/>
        <v>0.16403670274647447</v>
      </c>
      <c r="T36" s="41">
        <f>IF(C36&lt;&gt;"",++(Tabla1343238[[COSTO UNITARIO ]]-E36)/E36*100,"")</f>
        <v>11.589593705084681</v>
      </c>
      <c r="U36" s="48"/>
      <c r="V36" s="40">
        <f t="shared" si="25"/>
        <v>0.16403670274647447</v>
      </c>
      <c r="W36" s="48"/>
      <c r="X36" s="42">
        <f t="shared" si="26"/>
        <v>328.07340549294895</v>
      </c>
      <c r="Y36" s="41">
        <f t="shared" si="27"/>
        <v>0</v>
      </c>
      <c r="Z36" s="102">
        <f>IF(C36&lt;&gt;"",+Tabla1343238[Precio de Venta en Mercado en Dolares]*C36,"")</f>
        <v>0</v>
      </c>
      <c r="AA36" s="103">
        <f>IF(C36&lt;&gt;"",+Tabla1343238[Proyeccion Ventas]-Tabla1343238[[COSTO TOTAL ]],"")</f>
        <v>-328.07340549294895</v>
      </c>
      <c r="AB36" s="105">
        <f t="shared" si="28"/>
        <v>0.18864220815844562</v>
      </c>
      <c r="AC36" s="48"/>
      <c r="AD36" s="105">
        <f t="shared" si="29"/>
        <v>0.18864220815844562</v>
      </c>
    </row>
    <row r="37" spans="1:30" x14ac:dyDescent="0.25">
      <c r="A37" s="64" t="s">
        <v>75</v>
      </c>
      <c r="B37" s="63" t="s">
        <v>128</v>
      </c>
      <c r="C37" s="45">
        <v>24000</v>
      </c>
      <c r="D37" s="61">
        <f t="shared" si="0"/>
        <v>5.7283312850209347</v>
      </c>
      <c r="E37" s="107">
        <v>0.11</v>
      </c>
      <c r="F37" s="61">
        <f t="shared" si="13"/>
        <v>2640</v>
      </c>
      <c r="G37" s="107">
        <v>0.11</v>
      </c>
      <c r="H37" s="34">
        <f t="shared" si="14"/>
        <v>2640</v>
      </c>
      <c r="I37" s="34">
        <f t="shared" si="15"/>
        <v>197.77522028037581</v>
      </c>
      <c r="J37" s="34">
        <f t="shared" si="16"/>
        <v>8.5924969275314016</v>
      </c>
      <c r="K37" s="34">
        <f t="shared" si="17"/>
        <v>85.924969275314012</v>
      </c>
      <c r="L37" s="34">
        <f t="shared" si="18"/>
        <v>2734.5174662028458</v>
      </c>
      <c r="M37" s="34">
        <f t="shared" si="19"/>
        <v>13.672587331014229</v>
      </c>
      <c r="N37" s="67">
        <f t="shared" si="20"/>
        <v>0</v>
      </c>
      <c r="O37" s="67">
        <f t="shared" si="21"/>
        <v>2748.19005353386</v>
      </c>
      <c r="P37" s="67">
        <f>IF(C37&lt;&gt;0,+Tabla1343238[Base Para el Iva]*B$10/100,"")</f>
        <v>412.22850803007901</v>
      </c>
      <c r="Q37" s="34">
        <f t="shared" si="22"/>
        <v>305.9652738142355</v>
      </c>
      <c r="R37" s="34">
        <f t="shared" si="23"/>
        <v>2945.9652738142354</v>
      </c>
      <c r="S37" s="40">
        <f t="shared" si="24"/>
        <v>0.12274855307559314</v>
      </c>
      <c r="T37" s="41">
        <f>IF(C37&lt;&gt;"",++(Tabla1343238[[COSTO UNITARIO ]]-E37)/E37*100,"")</f>
        <v>11.589593705084672</v>
      </c>
      <c r="U37" s="48"/>
      <c r="V37" s="40">
        <f t="shared" si="25"/>
        <v>0.12274855307559314</v>
      </c>
      <c r="W37" s="48"/>
      <c r="X37" s="42">
        <f t="shared" si="26"/>
        <v>2945.9652738142354</v>
      </c>
      <c r="Y37" s="41">
        <f t="shared" si="27"/>
        <v>0</v>
      </c>
      <c r="Z37" s="102">
        <f>IF(C37&lt;&gt;"",+Tabla1343238[Precio de Venta en Mercado en Dolares]*C37,"")</f>
        <v>0</v>
      </c>
      <c r="AA37" s="103">
        <f>IF(C37&lt;&gt;"",+Tabla1343238[Proyeccion Ventas]-Tabla1343238[[COSTO TOTAL ]],"")</f>
        <v>-2945.9652738142354</v>
      </c>
      <c r="AB37" s="105">
        <f t="shared" si="28"/>
        <v>0.14116083603693211</v>
      </c>
      <c r="AC37" s="48"/>
      <c r="AD37" s="105">
        <f t="shared" si="29"/>
        <v>0.14116083603693211</v>
      </c>
    </row>
    <row r="38" spans="1:30" x14ac:dyDescent="0.25">
      <c r="A38" s="62"/>
      <c r="B38" s="63"/>
      <c r="C38" s="45"/>
      <c r="D38" s="61" t="str">
        <f t="shared" si="0"/>
        <v/>
      </c>
      <c r="E38" s="107"/>
      <c r="F38" s="61" t="str">
        <f t="shared" si="13"/>
        <v/>
      </c>
      <c r="G38" s="107"/>
      <c r="H38" s="34" t="str">
        <f t="shared" si="14"/>
        <v/>
      </c>
      <c r="I38" s="34" t="str">
        <f t="shared" si="15"/>
        <v/>
      </c>
      <c r="J38" s="34" t="str">
        <f t="shared" si="16"/>
        <v/>
      </c>
      <c r="K38" s="34" t="str">
        <f t="shared" si="17"/>
        <v/>
      </c>
      <c r="L38" s="34" t="str">
        <f t="shared" si="18"/>
        <v/>
      </c>
      <c r="M38" s="34" t="str">
        <f t="shared" si="19"/>
        <v/>
      </c>
      <c r="N38" s="67" t="str">
        <f t="shared" si="20"/>
        <v/>
      </c>
      <c r="O38" s="67" t="str">
        <f t="shared" si="21"/>
        <v/>
      </c>
      <c r="P38" s="67" t="str">
        <f>IF(C38&lt;&gt;0,+Tabla1343238[Base Para el Iva]*B$10/100,"")</f>
        <v/>
      </c>
      <c r="Q38" s="34" t="str">
        <f t="shared" si="22"/>
        <v/>
      </c>
      <c r="R38" s="34" t="str">
        <f t="shared" si="23"/>
        <v/>
      </c>
      <c r="S38" s="40" t="str">
        <f t="shared" si="24"/>
        <v/>
      </c>
      <c r="T38" s="41" t="str">
        <f>IF(C38&lt;&gt;"",++(Tabla1343238[[COSTO UNITARIO ]]-E38)/E38*100,"")</f>
        <v/>
      </c>
      <c r="U38" s="48"/>
      <c r="V38" s="40" t="str">
        <f t="shared" si="25"/>
        <v/>
      </c>
      <c r="W38" s="48"/>
      <c r="X38" s="42" t="str">
        <f t="shared" si="26"/>
        <v/>
      </c>
      <c r="Y38" s="41" t="str">
        <f t="shared" si="27"/>
        <v/>
      </c>
      <c r="Z38" s="102" t="str">
        <f>IF(C38&lt;&gt;"",+Tabla1343238[Precio de Venta en Mercado en Dolares]*C38,"")</f>
        <v/>
      </c>
      <c r="AA38" s="103" t="str">
        <f>IF(C38&lt;&gt;"",+Tabla1343238[Proyeccion Ventas]-Tabla1343238[[COSTO TOTAL ]],"")</f>
        <v/>
      </c>
      <c r="AB38" s="105" t="str">
        <f t="shared" si="28"/>
        <v/>
      </c>
      <c r="AC38" s="48"/>
      <c r="AD38" s="105" t="str">
        <f t="shared" si="29"/>
        <v/>
      </c>
    </row>
    <row r="39" spans="1:30" x14ac:dyDescent="0.25">
      <c r="A39" s="62"/>
      <c r="B39" s="63"/>
      <c r="C39" s="45"/>
      <c r="D39" s="61" t="str">
        <f t="shared" si="0"/>
        <v/>
      </c>
      <c r="E39" s="107"/>
      <c r="F39" s="61" t="str">
        <f t="shared" si="13"/>
        <v/>
      </c>
      <c r="G39" s="107"/>
      <c r="H39" s="34" t="str">
        <f t="shared" si="14"/>
        <v/>
      </c>
      <c r="I39" s="34" t="str">
        <f t="shared" si="15"/>
        <v/>
      </c>
      <c r="J39" s="34" t="str">
        <f t="shared" si="16"/>
        <v/>
      </c>
      <c r="K39" s="34" t="str">
        <f t="shared" si="17"/>
        <v/>
      </c>
      <c r="L39" s="34" t="str">
        <f t="shared" si="18"/>
        <v/>
      </c>
      <c r="M39" s="34" t="str">
        <f t="shared" si="19"/>
        <v/>
      </c>
      <c r="N39" s="67" t="str">
        <f t="shared" si="20"/>
        <v/>
      </c>
      <c r="O39" s="67" t="str">
        <f t="shared" si="21"/>
        <v/>
      </c>
      <c r="P39" s="67" t="str">
        <f>IF(C39&lt;&gt;0,+Tabla1343238[Base Para el Iva]*B$10/100,"")</f>
        <v/>
      </c>
      <c r="Q39" s="34" t="str">
        <f t="shared" si="22"/>
        <v/>
      </c>
      <c r="R39" s="34" t="str">
        <f t="shared" si="23"/>
        <v/>
      </c>
      <c r="S39" s="40" t="str">
        <f t="shared" si="24"/>
        <v/>
      </c>
      <c r="T39" s="41" t="str">
        <f>IF(C39&lt;&gt;"",++(Tabla1343238[[COSTO UNITARIO ]]-E39)/E39*100,"")</f>
        <v/>
      </c>
      <c r="U39" s="48"/>
      <c r="V39" s="40" t="str">
        <f t="shared" si="25"/>
        <v/>
      </c>
      <c r="W39" s="48"/>
      <c r="X39" s="42" t="str">
        <f t="shared" si="26"/>
        <v/>
      </c>
      <c r="Y39" s="41" t="str">
        <f t="shared" si="27"/>
        <v/>
      </c>
      <c r="Z39" s="102" t="str">
        <f>IF(C39&lt;&gt;"",+Tabla1343238[Precio de Venta en Mercado en Dolares]*C39,"")</f>
        <v/>
      </c>
      <c r="AA39" s="103" t="str">
        <f>IF(C39&lt;&gt;"",+Tabla1343238[Proyeccion Ventas]-Tabla1343238[[COSTO TOTAL ]],"")</f>
        <v/>
      </c>
      <c r="AB39" s="105" t="str">
        <f t="shared" si="28"/>
        <v/>
      </c>
      <c r="AC39" s="48"/>
      <c r="AD39" s="105" t="str">
        <f t="shared" si="29"/>
        <v/>
      </c>
    </row>
    <row r="40" spans="1:30" x14ac:dyDescent="0.25">
      <c r="A40" s="62"/>
      <c r="B40" s="63"/>
      <c r="C40" s="45"/>
      <c r="D40" s="61" t="str">
        <f t="shared" si="0"/>
        <v/>
      </c>
      <c r="E40" s="107"/>
      <c r="F40" s="61" t="str">
        <f t="shared" si="13"/>
        <v/>
      </c>
      <c r="G40" s="107"/>
      <c r="H40" s="34" t="str">
        <f t="shared" si="14"/>
        <v/>
      </c>
      <c r="I40" s="34" t="str">
        <f t="shared" si="15"/>
        <v/>
      </c>
      <c r="J40" s="34" t="str">
        <f t="shared" si="16"/>
        <v/>
      </c>
      <c r="K40" s="34" t="str">
        <f t="shared" si="17"/>
        <v/>
      </c>
      <c r="L40" s="34" t="str">
        <f t="shared" si="18"/>
        <v/>
      </c>
      <c r="M40" s="34" t="str">
        <f t="shared" si="19"/>
        <v/>
      </c>
      <c r="N40" s="67" t="str">
        <f t="shared" si="20"/>
        <v/>
      </c>
      <c r="O40" s="67" t="str">
        <f t="shared" si="21"/>
        <v/>
      </c>
      <c r="P40" s="67" t="str">
        <f>IF(C40&lt;&gt;0,+Tabla1343238[Base Para el Iva]*B$10/100,"")</f>
        <v/>
      </c>
      <c r="Q40" s="34" t="str">
        <f t="shared" si="22"/>
        <v/>
      </c>
      <c r="R40" s="34" t="str">
        <f t="shared" si="23"/>
        <v/>
      </c>
      <c r="S40" s="40" t="str">
        <f t="shared" si="24"/>
        <v/>
      </c>
      <c r="T40" s="41" t="str">
        <f>IF(C40&lt;&gt;"",++(Tabla1343238[[COSTO UNITARIO ]]-E40)/E40*100,"")</f>
        <v/>
      </c>
      <c r="U40" s="48"/>
      <c r="V40" s="40" t="str">
        <f t="shared" si="25"/>
        <v/>
      </c>
      <c r="W40" s="48"/>
      <c r="X40" s="42" t="str">
        <f t="shared" si="26"/>
        <v/>
      </c>
      <c r="Y40" s="41" t="str">
        <f t="shared" si="27"/>
        <v/>
      </c>
      <c r="Z40" s="102" t="str">
        <f>IF(C40&lt;&gt;"",+Tabla1343238[Precio de Venta en Mercado en Dolares]*C40,"")</f>
        <v/>
      </c>
      <c r="AA40" s="103" t="str">
        <f>IF(C40&lt;&gt;"",+Tabla1343238[Proyeccion Ventas]-Tabla1343238[[COSTO TOTAL ]],"")</f>
        <v/>
      </c>
      <c r="AB40" s="105" t="str">
        <f t="shared" si="28"/>
        <v/>
      </c>
      <c r="AC40" s="48"/>
      <c r="AD40" s="105" t="str">
        <f t="shared" si="29"/>
        <v/>
      </c>
    </row>
    <row r="41" spans="1:30" x14ac:dyDescent="0.25">
      <c r="A41" s="62"/>
      <c r="B41" s="63"/>
      <c r="C41" s="45"/>
      <c r="D41" s="61" t="str">
        <f t="shared" si="0"/>
        <v/>
      </c>
      <c r="E41" s="107"/>
      <c r="F41" s="61" t="str">
        <f t="shared" si="13"/>
        <v/>
      </c>
      <c r="G41" s="107"/>
      <c r="H41" s="34" t="str">
        <f t="shared" si="14"/>
        <v/>
      </c>
      <c r="I41" s="34" t="str">
        <f t="shared" si="15"/>
        <v/>
      </c>
      <c r="J41" s="34" t="str">
        <f t="shared" si="16"/>
        <v/>
      </c>
      <c r="K41" s="34" t="str">
        <f t="shared" si="17"/>
        <v/>
      </c>
      <c r="L41" s="34" t="str">
        <f t="shared" si="18"/>
        <v/>
      </c>
      <c r="M41" s="34" t="str">
        <f t="shared" si="19"/>
        <v/>
      </c>
      <c r="N41" s="67" t="str">
        <f t="shared" si="20"/>
        <v/>
      </c>
      <c r="O41" s="67" t="str">
        <f t="shared" si="21"/>
        <v/>
      </c>
      <c r="P41" s="67" t="str">
        <f>IF(C41&lt;&gt;0,+Tabla1343238[Base Para el Iva]*B$10/100,"")</f>
        <v/>
      </c>
      <c r="Q41" s="34" t="str">
        <f t="shared" si="22"/>
        <v/>
      </c>
      <c r="R41" s="34" t="str">
        <f t="shared" si="23"/>
        <v/>
      </c>
      <c r="S41" s="40" t="str">
        <f t="shared" si="24"/>
        <v/>
      </c>
      <c r="T41" s="41" t="str">
        <f>IF(C41&lt;&gt;"",++(Tabla1343238[[COSTO UNITARIO ]]-E41)/E41*100,"")</f>
        <v/>
      </c>
      <c r="U41" s="48"/>
      <c r="V41" s="40" t="str">
        <f t="shared" si="25"/>
        <v/>
      </c>
      <c r="W41" s="48"/>
      <c r="X41" s="42" t="str">
        <f t="shared" si="26"/>
        <v/>
      </c>
      <c r="Y41" s="41" t="str">
        <f t="shared" si="27"/>
        <v/>
      </c>
      <c r="Z41" s="102" t="str">
        <f>IF(C41&lt;&gt;"",+Tabla1343238[Precio de Venta en Mercado en Dolares]*C41,"")</f>
        <v/>
      </c>
      <c r="AA41" s="103" t="str">
        <f>IF(C41&lt;&gt;"",+Tabla1343238[Proyeccion Ventas]-Tabla1343238[[COSTO TOTAL ]],"")</f>
        <v/>
      </c>
      <c r="AB41" s="105" t="str">
        <f t="shared" si="28"/>
        <v/>
      </c>
      <c r="AC41" s="48"/>
      <c r="AD41" s="105" t="str">
        <f t="shared" si="29"/>
        <v/>
      </c>
    </row>
    <row r="42" spans="1:30" x14ac:dyDescent="0.25">
      <c r="A42" s="62"/>
      <c r="B42" s="63"/>
      <c r="C42" s="45"/>
      <c r="D42" s="61" t="str">
        <f t="shared" si="0"/>
        <v/>
      </c>
      <c r="E42" s="107"/>
      <c r="F42" s="61" t="str">
        <f t="shared" si="13"/>
        <v/>
      </c>
      <c r="G42" s="107"/>
      <c r="H42" s="34" t="str">
        <f t="shared" si="14"/>
        <v/>
      </c>
      <c r="I42" s="34" t="str">
        <f t="shared" si="15"/>
        <v/>
      </c>
      <c r="J42" s="34" t="str">
        <f t="shared" si="16"/>
        <v/>
      </c>
      <c r="K42" s="34" t="str">
        <f t="shared" si="17"/>
        <v/>
      </c>
      <c r="L42" s="34" t="str">
        <f t="shared" si="18"/>
        <v/>
      </c>
      <c r="M42" s="34" t="str">
        <f t="shared" si="19"/>
        <v/>
      </c>
      <c r="N42" s="67" t="str">
        <f t="shared" si="20"/>
        <v/>
      </c>
      <c r="O42" s="67" t="str">
        <f t="shared" si="21"/>
        <v/>
      </c>
      <c r="P42" s="67" t="str">
        <f>IF(C42&lt;&gt;0,+Tabla1343238[Base Para el Iva]*B$10/100,"")</f>
        <v/>
      </c>
      <c r="Q42" s="34" t="str">
        <f t="shared" si="22"/>
        <v/>
      </c>
      <c r="R42" s="34" t="str">
        <f t="shared" si="23"/>
        <v/>
      </c>
      <c r="S42" s="40" t="str">
        <f t="shared" si="24"/>
        <v/>
      </c>
      <c r="T42" s="41" t="str">
        <f>IF(C42&lt;&gt;"",++(Tabla1343238[[COSTO UNITARIO ]]-E42)/E42*100,"")</f>
        <v/>
      </c>
      <c r="U42" s="48"/>
      <c r="V42" s="40" t="str">
        <f t="shared" si="25"/>
        <v/>
      </c>
      <c r="W42" s="48"/>
      <c r="X42" s="42" t="str">
        <f t="shared" si="26"/>
        <v/>
      </c>
      <c r="Y42" s="41" t="str">
        <f t="shared" si="27"/>
        <v/>
      </c>
      <c r="Z42" s="102" t="str">
        <f>IF(C42&lt;&gt;"",+Tabla1343238[Precio de Venta en Mercado en Dolares]*C42,"")</f>
        <v/>
      </c>
      <c r="AA42" s="103" t="str">
        <f>IF(C42&lt;&gt;"",+Tabla1343238[Proyeccion Ventas]-Tabla1343238[[COSTO TOTAL ]],"")</f>
        <v/>
      </c>
      <c r="AB42" s="105" t="str">
        <f t="shared" si="28"/>
        <v/>
      </c>
      <c r="AC42" s="48"/>
      <c r="AD42" s="105" t="str">
        <f t="shared" si="29"/>
        <v/>
      </c>
    </row>
    <row r="43" spans="1:30" x14ac:dyDescent="0.25">
      <c r="A43" s="62"/>
      <c r="B43" s="63"/>
      <c r="C43" s="45"/>
      <c r="D43" s="61" t="str">
        <f t="shared" si="0"/>
        <v/>
      </c>
      <c r="E43" s="107"/>
      <c r="F43" s="61" t="str">
        <f t="shared" si="13"/>
        <v/>
      </c>
      <c r="G43" s="107"/>
      <c r="H43" s="34" t="str">
        <f t="shared" si="14"/>
        <v/>
      </c>
      <c r="I43" s="34" t="str">
        <f t="shared" si="15"/>
        <v/>
      </c>
      <c r="J43" s="34" t="str">
        <f t="shared" si="16"/>
        <v/>
      </c>
      <c r="K43" s="34" t="str">
        <f t="shared" si="17"/>
        <v/>
      </c>
      <c r="L43" s="34" t="str">
        <f t="shared" si="18"/>
        <v/>
      </c>
      <c r="M43" s="34" t="str">
        <f t="shared" si="19"/>
        <v/>
      </c>
      <c r="N43" s="67" t="str">
        <f t="shared" si="20"/>
        <v/>
      </c>
      <c r="O43" s="67" t="str">
        <f t="shared" si="21"/>
        <v/>
      </c>
      <c r="P43" s="67" t="str">
        <f>IF(C43&lt;&gt;0,+Tabla1343238[Base Para el Iva]*B$10/100,"")</f>
        <v/>
      </c>
      <c r="Q43" s="34" t="str">
        <f t="shared" si="22"/>
        <v/>
      </c>
      <c r="R43" s="34" t="str">
        <f t="shared" si="23"/>
        <v/>
      </c>
      <c r="S43" s="40" t="str">
        <f t="shared" si="24"/>
        <v/>
      </c>
      <c r="T43" s="41" t="str">
        <f>IF(C43&lt;&gt;"",++(Tabla1343238[[COSTO UNITARIO ]]-E43)/E43*100,"")</f>
        <v/>
      </c>
      <c r="U43" s="48"/>
      <c r="V43" s="40" t="str">
        <f t="shared" si="25"/>
        <v/>
      </c>
      <c r="W43" s="48"/>
      <c r="X43" s="42" t="str">
        <f t="shared" si="26"/>
        <v/>
      </c>
      <c r="Y43" s="41" t="str">
        <f t="shared" si="27"/>
        <v/>
      </c>
      <c r="Z43" s="102" t="str">
        <f>IF(C43&lt;&gt;"",+Tabla1343238[Precio de Venta en Mercado en Dolares]*C43,"")</f>
        <v/>
      </c>
      <c r="AA43" s="103" t="str">
        <f>IF(C43&lt;&gt;"",+Tabla1343238[Proyeccion Ventas]-Tabla1343238[[COSTO TOTAL ]],"")</f>
        <v/>
      </c>
      <c r="AB43" s="105" t="str">
        <f t="shared" si="28"/>
        <v/>
      </c>
      <c r="AC43" s="48"/>
      <c r="AD43" s="105" t="str">
        <f t="shared" si="29"/>
        <v/>
      </c>
    </row>
    <row r="44" spans="1:30" x14ac:dyDescent="0.25">
      <c r="A44" s="62"/>
      <c r="B44" s="63"/>
      <c r="C44" s="45"/>
      <c r="D44" s="61" t="str">
        <f t="shared" si="0"/>
        <v/>
      </c>
      <c r="E44" s="107"/>
      <c r="F44" s="61" t="str">
        <f t="shared" si="13"/>
        <v/>
      </c>
      <c r="G44" s="107"/>
      <c r="H44" s="34" t="str">
        <f t="shared" si="14"/>
        <v/>
      </c>
      <c r="I44" s="34" t="str">
        <f t="shared" si="15"/>
        <v/>
      </c>
      <c r="J44" s="34" t="str">
        <f t="shared" si="16"/>
        <v/>
      </c>
      <c r="K44" s="34" t="str">
        <f t="shared" si="17"/>
        <v/>
      </c>
      <c r="L44" s="34" t="str">
        <f t="shared" si="18"/>
        <v/>
      </c>
      <c r="M44" s="34" t="str">
        <f t="shared" si="19"/>
        <v/>
      </c>
      <c r="N44" s="67" t="str">
        <f t="shared" si="20"/>
        <v/>
      </c>
      <c r="O44" s="67" t="str">
        <f t="shared" si="21"/>
        <v/>
      </c>
      <c r="P44" s="67" t="str">
        <f>IF(C44&lt;&gt;0,+Tabla1343238[Base Para el Iva]*B$10/100,"")</f>
        <v/>
      </c>
      <c r="Q44" s="34" t="str">
        <f t="shared" si="22"/>
        <v/>
      </c>
      <c r="R44" s="34" t="str">
        <f t="shared" si="23"/>
        <v/>
      </c>
      <c r="S44" s="40" t="str">
        <f t="shared" si="24"/>
        <v/>
      </c>
      <c r="T44" s="41" t="str">
        <f>IF(C44&lt;&gt;"",++(Tabla1343238[[COSTO UNITARIO ]]-E44)/E44*100,"")</f>
        <v/>
      </c>
      <c r="U44" s="48"/>
      <c r="V44" s="40" t="str">
        <f t="shared" si="25"/>
        <v/>
      </c>
      <c r="W44" s="48"/>
      <c r="X44" s="42" t="str">
        <f t="shared" si="26"/>
        <v/>
      </c>
      <c r="Y44" s="41" t="str">
        <f t="shared" si="27"/>
        <v/>
      </c>
      <c r="Z44" s="102" t="str">
        <f>IF(C44&lt;&gt;"",+Tabla1343238[Precio de Venta en Mercado en Dolares]*C44,"")</f>
        <v/>
      </c>
      <c r="AA44" s="103" t="str">
        <f>IF(C44&lt;&gt;"",+Tabla1343238[Proyeccion Ventas]-Tabla1343238[[COSTO TOTAL ]],"")</f>
        <v/>
      </c>
      <c r="AB44" s="105" t="str">
        <f t="shared" si="28"/>
        <v/>
      </c>
      <c r="AC44" s="48"/>
      <c r="AD44" s="105" t="str">
        <f t="shared" si="29"/>
        <v/>
      </c>
    </row>
    <row r="45" spans="1:30" x14ac:dyDescent="0.25">
      <c r="A45" s="62"/>
      <c r="B45" s="63"/>
      <c r="C45" s="45"/>
      <c r="D45" s="61" t="str">
        <f t="shared" si="0"/>
        <v/>
      </c>
      <c r="E45" s="107"/>
      <c r="F45" s="61" t="str">
        <f t="shared" si="13"/>
        <v/>
      </c>
      <c r="G45" s="107"/>
      <c r="H45" s="34" t="str">
        <f t="shared" si="14"/>
        <v/>
      </c>
      <c r="I45" s="34" t="str">
        <f t="shared" si="15"/>
        <v/>
      </c>
      <c r="J45" s="34" t="str">
        <f t="shared" si="16"/>
        <v/>
      </c>
      <c r="K45" s="34" t="str">
        <f t="shared" si="17"/>
        <v/>
      </c>
      <c r="L45" s="34" t="str">
        <f t="shared" si="18"/>
        <v/>
      </c>
      <c r="M45" s="34" t="str">
        <f t="shared" si="19"/>
        <v/>
      </c>
      <c r="N45" s="67" t="str">
        <f t="shared" si="20"/>
        <v/>
      </c>
      <c r="O45" s="67" t="str">
        <f t="shared" si="21"/>
        <v/>
      </c>
      <c r="P45" s="67" t="str">
        <f>IF(C45&lt;&gt;0,+Tabla1343238[Base Para el Iva]*B$10/100,"")</f>
        <v/>
      </c>
      <c r="Q45" s="34" t="str">
        <f t="shared" si="22"/>
        <v/>
      </c>
      <c r="R45" s="34" t="str">
        <f t="shared" si="23"/>
        <v/>
      </c>
      <c r="S45" s="40" t="str">
        <f t="shared" si="24"/>
        <v/>
      </c>
      <c r="T45" s="41" t="str">
        <f>IF(C45&lt;&gt;"",++(Tabla1343238[[COSTO UNITARIO ]]-E45)/E45*100,"")</f>
        <v/>
      </c>
      <c r="U45" s="48"/>
      <c r="V45" s="40" t="str">
        <f t="shared" si="25"/>
        <v/>
      </c>
      <c r="W45" s="48"/>
      <c r="X45" s="42" t="str">
        <f t="shared" si="26"/>
        <v/>
      </c>
      <c r="Y45" s="41" t="str">
        <f t="shared" si="27"/>
        <v/>
      </c>
      <c r="Z45" s="102" t="str">
        <f>IF(C45&lt;&gt;"",+Tabla1343238[Precio de Venta en Mercado en Dolares]*C45,"")</f>
        <v/>
      </c>
      <c r="AA45" s="103" t="str">
        <f>IF(C45&lt;&gt;"",+Tabla1343238[Proyeccion Ventas]-Tabla1343238[[COSTO TOTAL ]],"")</f>
        <v/>
      </c>
      <c r="AB45" s="105" t="str">
        <f t="shared" si="28"/>
        <v/>
      </c>
      <c r="AC45" s="48"/>
      <c r="AD45" s="105" t="str">
        <f t="shared" si="29"/>
        <v/>
      </c>
    </row>
    <row r="46" spans="1:30" x14ac:dyDescent="0.25">
      <c r="A46" s="62"/>
      <c r="B46" s="63"/>
      <c r="C46" s="45"/>
      <c r="D46" s="61" t="str">
        <f t="shared" si="0"/>
        <v/>
      </c>
      <c r="E46" s="107"/>
      <c r="F46" s="61" t="str">
        <f t="shared" si="13"/>
        <v/>
      </c>
      <c r="G46" s="107"/>
      <c r="H46" s="34" t="str">
        <f t="shared" si="14"/>
        <v/>
      </c>
      <c r="I46" s="34" t="str">
        <f t="shared" si="15"/>
        <v/>
      </c>
      <c r="J46" s="34" t="str">
        <f t="shared" si="16"/>
        <v/>
      </c>
      <c r="K46" s="34" t="str">
        <f t="shared" si="17"/>
        <v/>
      </c>
      <c r="L46" s="34" t="str">
        <f t="shared" si="18"/>
        <v/>
      </c>
      <c r="M46" s="34" t="str">
        <f t="shared" si="19"/>
        <v/>
      </c>
      <c r="N46" s="67" t="str">
        <f t="shared" si="20"/>
        <v/>
      </c>
      <c r="O46" s="67" t="str">
        <f t="shared" si="21"/>
        <v/>
      </c>
      <c r="P46" s="67" t="str">
        <f>IF(C46&lt;&gt;0,+Tabla1343238[Base Para el Iva]*B$10/100,"")</f>
        <v/>
      </c>
      <c r="Q46" s="34" t="str">
        <f t="shared" si="22"/>
        <v/>
      </c>
      <c r="R46" s="34" t="str">
        <f t="shared" si="23"/>
        <v/>
      </c>
      <c r="S46" s="40" t="str">
        <f t="shared" si="24"/>
        <v/>
      </c>
      <c r="T46" s="41" t="str">
        <f>IF(C46&lt;&gt;"",++(Tabla1343238[[COSTO UNITARIO ]]-E46)/E46*100,"")</f>
        <v/>
      </c>
      <c r="U46" s="48"/>
      <c r="V46" s="40" t="str">
        <f t="shared" si="25"/>
        <v/>
      </c>
      <c r="W46" s="48"/>
      <c r="X46" s="42" t="str">
        <f t="shared" si="26"/>
        <v/>
      </c>
      <c r="Y46" s="41" t="str">
        <f t="shared" si="27"/>
        <v/>
      </c>
      <c r="Z46" s="102" t="str">
        <f>IF(C46&lt;&gt;"",+Tabla1343238[Precio de Venta en Mercado en Dolares]*C46,"")</f>
        <v/>
      </c>
      <c r="AA46" s="103" t="str">
        <f>IF(C46&lt;&gt;"",+Tabla1343238[Proyeccion Ventas]-Tabla1343238[[COSTO TOTAL ]],"")</f>
        <v/>
      </c>
      <c r="AB46" s="105" t="str">
        <f t="shared" si="28"/>
        <v/>
      </c>
      <c r="AC46" s="48"/>
      <c r="AD46" s="105" t="str">
        <f t="shared" si="29"/>
        <v/>
      </c>
    </row>
    <row r="47" spans="1:30" x14ac:dyDescent="0.25">
      <c r="A47" s="62"/>
      <c r="B47" s="63"/>
      <c r="C47" s="45"/>
      <c r="D47" s="61" t="str">
        <f t="shared" si="0"/>
        <v/>
      </c>
      <c r="E47" s="107"/>
      <c r="F47" s="61" t="str">
        <f t="shared" si="13"/>
        <v/>
      </c>
      <c r="G47" s="107"/>
      <c r="H47" s="34" t="str">
        <f t="shared" si="14"/>
        <v/>
      </c>
      <c r="I47" s="34" t="str">
        <f t="shared" si="15"/>
        <v/>
      </c>
      <c r="J47" s="34" t="str">
        <f t="shared" si="16"/>
        <v/>
      </c>
      <c r="K47" s="34" t="str">
        <f t="shared" si="17"/>
        <v/>
      </c>
      <c r="L47" s="34" t="str">
        <f t="shared" si="18"/>
        <v/>
      </c>
      <c r="M47" s="34" t="str">
        <f t="shared" si="19"/>
        <v/>
      </c>
      <c r="N47" s="67" t="str">
        <f t="shared" si="20"/>
        <v/>
      </c>
      <c r="O47" s="67" t="str">
        <f t="shared" si="21"/>
        <v/>
      </c>
      <c r="P47" s="67" t="str">
        <f>IF(C47&lt;&gt;0,+Tabla1343238[Base Para el Iva]*B$10/100,"")</f>
        <v/>
      </c>
      <c r="Q47" s="34" t="str">
        <f t="shared" si="22"/>
        <v/>
      </c>
      <c r="R47" s="34" t="str">
        <f t="shared" si="23"/>
        <v/>
      </c>
      <c r="S47" s="40" t="str">
        <f t="shared" si="24"/>
        <v/>
      </c>
      <c r="T47" s="41" t="str">
        <f>IF(C47&lt;&gt;"",++(Tabla1343238[[COSTO UNITARIO ]]-E47)/E47*100,"")</f>
        <v/>
      </c>
      <c r="U47" s="48"/>
      <c r="V47" s="40" t="str">
        <f t="shared" si="25"/>
        <v/>
      </c>
      <c r="W47" s="48"/>
      <c r="X47" s="42" t="str">
        <f t="shared" si="26"/>
        <v/>
      </c>
      <c r="Y47" s="41" t="str">
        <f t="shared" si="27"/>
        <v/>
      </c>
      <c r="Z47" s="102" t="str">
        <f>IF(C47&lt;&gt;"",+Tabla1343238[Precio de Venta en Mercado en Dolares]*C47,"")</f>
        <v/>
      </c>
      <c r="AA47" s="103" t="str">
        <f>IF(C47&lt;&gt;"",+Tabla1343238[Proyeccion Ventas]-Tabla1343238[[COSTO TOTAL ]],"")</f>
        <v/>
      </c>
      <c r="AB47" s="105" t="str">
        <f t="shared" si="28"/>
        <v/>
      </c>
      <c r="AC47" s="48"/>
      <c r="AD47" s="105" t="str">
        <f t="shared" si="29"/>
        <v/>
      </c>
    </row>
    <row r="48" spans="1:30" x14ac:dyDescent="0.25">
      <c r="A48" s="62"/>
      <c r="B48" s="63"/>
      <c r="C48" s="45"/>
      <c r="D48" s="61" t="str">
        <f t="shared" si="0"/>
        <v/>
      </c>
      <c r="E48" s="107"/>
      <c r="F48" s="61" t="str">
        <f t="shared" si="13"/>
        <v/>
      </c>
      <c r="G48" s="107"/>
      <c r="H48" s="34" t="str">
        <f t="shared" si="14"/>
        <v/>
      </c>
      <c r="I48" s="34" t="str">
        <f t="shared" si="15"/>
        <v/>
      </c>
      <c r="J48" s="34" t="str">
        <f t="shared" si="16"/>
        <v/>
      </c>
      <c r="K48" s="34" t="str">
        <f t="shared" si="17"/>
        <v/>
      </c>
      <c r="L48" s="34" t="str">
        <f t="shared" si="18"/>
        <v/>
      </c>
      <c r="M48" s="34" t="str">
        <f t="shared" si="19"/>
        <v/>
      </c>
      <c r="N48" s="67" t="str">
        <f t="shared" si="20"/>
        <v/>
      </c>
      <c r="O48" s="67" t="str">
        <f t="shared" si="21"/>
        <v/>
      </c>
      <c r="P48" s="67" t="str">
        <f>IF(C48&lt;&gt;0,+Tabla1343238[Base Para el Iva]*B$10/100,"")</f>
        <v/>
      </c>
      <c r="Q48" s="34" t="str">
        <f t="shared" si="22"/>
        <v/>
      </c>
      <c r="R48" s="34" t="str">
        <f t="shared" si="23"/>
        <v/>
      </c>
      <c r="S48" s="40" t="str">
        <f t="shared" si="24"/>
        <v/>
      </c>
      <c r="T48" s="41" t="str">
        <f>IF(C48&lt;&gt;"",++(Tabla1343238[[COSTO UNITARIO ]]-E48)/E48*100,"")</f>
        <v/>
      </c>
      <c r="U48" s="48"/>
      <c r="V48" s="40" t="str">
        <f t="shared" si="25"/>
        <v/>
      </c>
      <c r="W48" s="48"/>
      <c r="X48" s="42" t="str">
        <f t="shared" si="26"/>
        <v/>
      </c>
      <c r="Y48" s="41" t="str">
        <f t="shared" si="27"/>
        <v/>
      </c>
      <c r="Z48" s="102" t="str">
        <f>IF(C48&lt;&gt;"",+Tabla1343238[Precio de Venta en Mercado en Dolares]*C48,"")</f>
        <v/>
      </c>
      <c r="AA48" s="103" t="str">
        <f>IF(C48&lt;&gt;"",+Tabla1343238[Proyeccion Ventas]-Tabla1343238[[COSTO TOTAL ]],"")</f>
        <v/>
      </c>
      <c r="AB48" s="105" t="str">
        <f t="shared" si="28"/>
        <v/>
      </c>
      <c r="AC48" s="48"/>
      <c r="AD48" s="105" t="str">
        <f t="shared" si="29"/>
        <v/>
      </c>
    </row>
    <row r="49" spans="1:30" x14ac:dyDescent="0.25">
      <c r="A49" s="62"/>
      <c r="B49" s="63"/>
      <c r="C49" s="45"/>
      <c r="D49" s="61" t="str">
        <f t="shared" si="0"/>
        <v/>
      </c>
      <c r="E49" s="107"/>
      <c r="F49" s="61" t="str">
        <f t="shared" si="13"/>
        <v/>
      </c>
      <c r="G49" s="107"/>
      <c r="H49" s="34" t="str">
        <f t="shared" si="14"/>
        <v/>
      </c>
      <c r="I49" s="34" t="str">
        <f t="shared" si="15"/>
        <v/>
      </c>
      <c r="J49" s="34" t="str">
        <f t="shared" si="16"/>
        <v/>
      </c>
      <c r="K49" s="34" t="str">
        <f t="shared" si="17"/>
        <v/>
      </c>
      <c r="L49" s="34" t="str">
        <f t="shared" si="18"/>
        <v/>
      </c>
      <c r="M49" s="34" t="str">
        <f t="shared" si="19"/>
        <v/>
      </c>
      <c r="N49" s="67" t="str">
        <f t="shared" si="20"/>
        <v/>
      </c>
      <c r="O49" s="67" t="str">
        <f t="shared" si="21"/>
        <v/>
      </c>
      <c r="P49" s="67" t="str">
        <f>IF(C49&lt;&gt;0,+Tabla1343238[Base Para el Iva]*B$10/100,"")</f>
        <v/>
      </c>
      <c r="Q49" s="34" t="str">
        <f t="shared" si="22"/>
        <v/>
      </c>
      <c r="R49" s="34" t="str">
        <f t="shared" si="23"/>
        <v/>
      </c>
      <c r="S49" s="40" t="str">
        <f t="shared" si="24"/>
        <v/>
      </c>
      <c r="T49" s="41" t="str">
        <f>IF(C49&lt;&gt;"",++(Tabla1343238[[COSTO UNITARIO ]]-E49)/E49*100,"")</f>
        <v/>
      </c>
      <c r="U49" s="48"/>
      <c r="V49" s="40" t="str">
        <f t="shared" si="25"/>
        <v/>
      </c>
      <c r="W49" s="48"/>
      <c r="X49" s="42" t="str">
        <f t="shared" si="26"/>
        <v/>
      </c>
      <c r="Y49" s="41" t="str">
        <f t="shared" si="27"/>
        <v/>
      </c>
      <c r="Z49" s="102" t="str">
        <f>IF(C49&lt;&gt;"",+Tabla1343238[Precio de Venta en Mercado en Dolares]*C49,"")</f>
        <v/>
      </c>
      <c r="AA49" s="103" t="str">
        <f>IF(C49&lt;&gt;"",+Tabla1343238[Proyeccion Ventas]-Tabla1343238[[COSTO TOTAL ]],"")</f>
        <v/>
      </c>
      <c r="AB49" s="105" t="str">
        <f t="shared" si="28"/>
        <v/>
      </c>
      <c r="AC49" s="48"/>
      <c r="AD49" s="105" t="str">
        <f t="shared" si="29"/>
        <v/>
      </c>
    </row>
    <row r="50" spans="1:30" x14ac:dyDescent="0.25">
      <c r="A50" s="62"/>
      <c r="B50" s="63"/>
      <c r="C50" s="45"/>
      <c r="D50" s="61" t="str">
        <f t="shared" si="0"/>
        <v/>
      </c>
      <c r="E50" s="107"/>
      <c r="F50" s="61" t="str">
        <f t="shared" si="13"/>
        <v/>
      </c>
      <c r="G50" s="107"/>
      <c r="H50" s="34" t="str">
        <f t="shared" si="14"/>
        <v/>
      </c>
      <c r="I50" s="34" t="str">
        <f t="shared" si="15"/>
        <v/>
      </c>
      <c r="J50" s="34" t="str">
        <f t="shared" si="16"/>
        <v/>
      </c>
      <c r="K50" s="34" t="str">
        <f t="shared" si="17"/>
        <v/>
      </c>
      <c r="L50" s="34" t="str">
        <f t="shared" si="18"/>
        <v/>
      </c>
      <c r="M50" s="34" t="str">
        <f t="shared" si="19"/>
        <v/>
      </c>
      <c r="N50" s="67" t="str">
        <f t="shared" si="20"/>
        <v/>
      </c>
      <c r="O50" s="67" t="str">
        <f t="shared" si="21"/>
        <v/>
      </c>
      <c r="P50" s="67" t="str">
        <f>IF(C50&lt;&gt;0,+Tabla1343238[Base Para el Iva]*B$10/100,"")</f>
        <v/>
      </c>
      <c r="Q50" s="34" t="str">
        <f t="shared" si="22"/>
        <v/>
      </c>
      <c r="R50" s="34" t="str">
        <f t="shared" si="23"/>
        <v/>
      </c>
      <c r="S50" s="40" t="str">
        <f t="shared" si="24"/>
        <v/>
      </c>
      <c r="T50" s="41" t="str">
        <f>IF(C50&lt;&gt;"",++(Tabla1343238[[COSTO UNITARIO ]]-E50)/E50*100,"")</f>
        <v/>
      </c>
      <c r="U50" s="48"/>
      <c r="V50" s="40" t="str">
        <f t="shared" si="25"/>
        <v/>
      </c>
      <c r="W50" s="48"/>
      <c r="X50" s="42" t="str">
        <f t="shared" si="26"/>
        <v/>
      </c>
      <c r="Y50" s="41" t="str">
        <f t="shared" si="27"/>
        <v/>
      </c>
      <c r="Z50" s="102" t="str">
        <f>IF(C50&lt;&gt;"",+Tabla1343238[Precio de Venta en Mercado en Dolares]*C50,"")</f>
        <v/>
      </c>
      <c r="AA50" s="103" t="str">
        <f>IF(C50&lt;&gt;"",+Tabla1343238[Proyeccion Ventas]-Tabla1343238[[COSTO TOTAL ]],"")</f>
        <v/>
      </c>
      <c r="AB50" s="105" t="str">
        <f t="shared" si="28"/>
        <v/>
      </c>
      <c r="AC50" s="48"/>
      <c r="AD50" s="105" t="str">
        <f t="shared" si="29"/>
        <v/>
      </c>
    </row>
    <row r="51" spans="1:30" x14ac:dyDescent="0.25">
      <c r="A51" s="62"/>
      <c r="B51" s="63"/>
      <c r="C51" s="45"/>
      <c r="D51" s="61" t="str">
        <f t="shared" si="0"/>
        <v/>
      </c>
      <c r="E51" s="107"/>
      <c r="F51" s="61" t="str">
        <f t="shared" si="13"/>
        <v/>
      </c>
      <c r="G51" s="107"/>
      <c r="H51" s="34" t="str">
        <f t="shared" si="14"/>
        <v/>
      </c>
      <c r="I51" s="34" t="str">
        <f t="shared" si="15"/>
        <v/>
      </c>
      <c r="J51" s="34" t="str">
        <f t="shared" si="16"/>
        <v/>
      </c>
      <c r="K51" s="34" t="str">
        <f t="shared" si="17"/>
        <v/>
      </c>
      <c r="L51" s="34" t="str">
        <f t="shared" si="18"/>
        <v/>
      </c>
      <c r="M51" s="34" t="str">
        <f t="shared" si="19"/>
        <v/>
      </c>
      <c r="N51" s="67" t="str">
        <f t="shared" si="20"/>
        <v/>
      </c>
      <c r="O51" s="67" t="str">
        <f t="shared" si="21"/>
        <v/>
      </c>
      <c r="P51" s="67" t="str">
        <f>IF(C51&lt;&gt;0,+Tabla1343238[Base Para el Iva]*B$10/100,"")</f>
        <v/>
      </c>
      <c r="Q51" s="34" t="str">
        <f t="shared" si="22"/>
        <v/>
      </c>
      <c r="R51" s="34" t="str">
        <f t="shared" si="23"/>
        <v/>
      </c>
      <c r="S51" s="40" t="str">
        <f t="shared" si="24"/>
        <v/>
      </c>
      <c r="T51" s="41" t="str">
        <f>IF(C51&lt;&gt;"",++(Tabla1343238[[COSTO UNITARIO ]]-E51)/E51*100,"")</f>
        <v/>
      </c>
      <c r="U51" s="48"/>
      <c r="V51" s="40" t="str">
        <f t="shared" si="25"/>
        <v/>
      </c>
      <c r="W51" s="48"/>
      <c r="X51" s="42" t="str">
        <f t="shared" si="26"/>
        <v/>
      </c>
      <c r="Y51" s="41" t="str">
        <f t="shared" si="27"/>
        <v/>
      </c>
      <c r="Z51" s="102" t="str">
        <f>IF(C51&lt;&gt;"",+Tabla1343238[Precio de Venta en Mercado en Dolares]*C51,"")</f>
        <v/>
      </c>
      <c r="AA51" s="103" t="str">
        <f>IF(C51&lt;&gt;"",+Tabla1343238[Proyeccion Ventas]-Tabla1343238[[COSTO TOTAL ]],"")</f>
        <v/>
      </c>
      <c r="AB51" s="105" t="str">
        <f t="shared" si="28"/>
        <v/>
      </c>
      <c r="AC51" s="48"/>
      <c r="AD51" s="105" t="str">
        <f t="shared" si="29"/>
        <v/>
      </c>
    </row>
    <row r="52" spans="1:30" s="117" customFormat="1" ht="15.75" customHeight="1" x14ac:dyDescent="0.3">
      <c r="A52" s="111"/>
      <c r="B52" s="112" t="s">
        <v>46</v>
      </c>
      <c r="C52" s="113"/>
      <c r="D52" s="114">
        <f>SUM(D20:D51)</f>
        <v>99.999999999999986</v>
      </c>
      <c r="E52" s="114">
        <f>SUM(E20:E51)</f>
        <v>22.125</v>
      </c>
      <c r="F52" s="114">
        <f>SUM(F20:F51)</f>
        <v>46086.720000000001</v>
      </c>
      <c r="G52" s="114"/>
      <c r="H52" s="115">
        <f>SUM(H20:H51)</f>
        <v>46086.720000000001</v>
      </c>
      <c r="I52" s="115">
        <f t="shared" ref="I52" si="30">SUM(I20:I51)</f>
        <v>3452.5799999999995</v>
      </c>
      <c r="J52" s="115">
        <f>+B9</f>
        <v>150</v>
      </c>
      <c r="K52" s="115">
        <f>+I7</f>
        <v>1500</v>
      </c>
      <c r="L52" s="115">
        <f>SUM(L20:L51)</f>
        <v>47736.72</v>
      </c>
      <c r="M52" s="115">
        <f t="shared" ref="M52:R52" si="31">SUBTOTAL(109,M20:M51)</f>
        <v>238.68359999999998</v>
      </c>
      <c r="N52" s="115">
        <f t="shared" si="31"/>
        <v>372.88874539129711</v>
      </c>
      <c r="O52" s="115">
        <f t="shared" si="31"/>
        <v>48348.292345391295</v>
      </c>
      <c r="P52" s="115">
        <f t="shared" si="31"/>
        <v>7252.2438518086938</v>
      </c>
      <c r="Q52" s="115">
        <f t="shared" si="31"/>
        <v>5714.1523453912978</v>
      </c>
      <c r="R52" s="115">
        <f t="shared" si="31"/>
        <v>51800.872345391297</v>
      </c>
      <c r="S52" s="115">
        <f>SUM(Tabla1343238[[#This Row],[Fodinfa]:[COSTO TOTAL ]])</f>
        <v>113727.13323337387</v>
      </c>
      <c r="T52" s="115">
        <f>SUBTOTAL(109,T20:T51)</f>
        <v>229.32872810215184</v>
      </c>
      <c r="U52" s="115"/>
      <c r="V52" s="115">
        <f>SUBTOTAL(109,V20:V51)</f>
        <v>24.707842044519548</v>
      </c>
      <c r="W52" s="115"/>
      <c r="X52" s="115">
        <f>SUBTOTAL(109,X20:X51)</f>
        <v>51800.872345391297</v>
      </c>
      <c r="Y52" s="115">
        <f>SUBTOTAL(109,Y20:Y51)</f>
        <v>9.0949470177292824E-13</v>
      </c>
      <c r="Z52" s="122" t="str">
        <f>IF(C52&lt;&gt;"",+Tabla1343238[Precio de Venta en Mercado en Dolares]*C52,"")</f>
        <v/>
      </c>
      <c r="AA52" s="115" t="str">
        <f>IF(C52&lt;&gt;"",+Tabla1343238[Proyeccion Ventas]-Tabla1343238[[COSTO TOTAL ]],"")</f>
        <v/>
      </c>
      <c r="AB52" s="116">
        <f>SUM(AB20:AB51)</f>
        <v>28.414018351197477</v>
      </c>
      <c r="AC52" s="116">
        <f t="shared" ref="AC52" si="32">SUM(AC20:AC51)</f>
        <v>0</v>
      </c>
      <c r="AD52" s="116">
        <f>SUM(AB52:AC52)</f>
        <v>28.414018351197477</v>
      </c>
    </row>
  </sheetData>
  <sheetProtection algorithmName="SHA-512" hashValue="yxhZ7XITaCPMdhSh0av4+l9hmyN7Uh5Y92qhOvdM2PZ9O9ODc22sRni3okou6C58Gh9C/kF1NhuBl9n+vN6iNg==" saltValue="jQ7TUtUtl717E2XOTKZMSA==" spinCount="100000" sheet="1" objects="1" scenarios="1" selectLockedCells="1"/>
  <mergeCells count="2">
    <mergeCell ref="A3:B3"/>
    <mergeCell ref="H3:I3"/>
  </mergeCells>
  <printOptions horizontalCentered="1"/>
  <pageMargins left="0.7" right="0.7" top="0.75" bottom="0.75" header="0.3" footer="0.3"/>
  <pageSetup paperSize="9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piarMatrizANuevoLibroProtegido">
                <anchor moveWithCells="1" sizeWithCells="1">
                  <from>
                    <xdr:col>9</xdr:col>
                    <xdr:colOff>28575</xdr:colOff>
                    <xdr:row>0</xdr:row>
                    <xdr:rowOff>47625</xdr:rowOff>
                  </from>
                  <to>
                    <xdr:col>9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DuplicarMatrizComoNuevaHoja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EliminarHojaImportacion">
                <anchor moveWithCells="1" sizeWithCells="1">
                  <from>
                    <xdr:col>11</xdr:col>
                    <xdr:colOff>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ResumenDeImportaciones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13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ImprimirImportacionA4Horizontal">
                <anchor moveWithCells="1" sizeWithCells="1">
                  <from>
                    <xdr:col>13</xdr:col>
                    <xdr:colOff>114300</xdr:colOff>
                    <xdr:row>0</xdr:row>
                    <xdr:rowOff>66675</xdr:rowOff>
                  </from>
                  <to>
                    <xdr:col>15</xdr:col>
                    <xdr:colOff>200025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D44"/>
  <sheetViews>
    <sheetView showGridLines="0" topLeftCell="D12" zoomScale="78" zoomScaleNormal="78" workbookViewId="0">
      <selection activeCell="U20" sqref="U20"/>
    </sheetView>
  </sheetViews>
  <sheetFormatPr baseColWidth="10" defaultRowHeight="15" x14ac:dyDescent="0.25"/>
  <cols>
    <col min="1" max="1" width="13" customWidth="1"/>
    <col min="2" max="2" width="30.7109375" customWidth="1"/>
    <col min="3" max="3" width="16.42578125" style="29" bestFit="1" customWidth="1"/>
    <col min="4" max="4" width="15.140625" style="22" bestFit="1" customWidth="1"/>
    <col min="5" max="7" width="15.140625" style="22" customWidth="1"/>
    <col min="8" max="8" width="24" customWidth="1"/>
    <col min="9" max="9" width="13.5703125" style="3" customWidth="1"/>
    <col min="10" max="10" width="14.85546875" style="3" customWidth="1"/>
    <col min="11" max="11" width="15" style="3" customWidth="1"/>
    <col min="12" max="12" width="16.42578125" style="3" customWidth="1"/>
    <col min="13" max="13" width="11.140625" style="3" customWidth="1"/>
    <col min="14" max="14" width="11" style="3" customWidth="1"/>
    <col min="15" max="16" width="14" style="3" customWidth="1"/>
    <col min="17" max="17" width="16" style="3" customWidth="1"/>
    <col min="18" max="18" width="19.5703125" style="3" customWidth="1"/>
    <col min="19" max="20" width="13" style="3" customWidth="1"/>
    <col min="21" max="21" width="16.7109375" style="3" customWidth="1"/>
    <col min="22" max="22" width="15.28515625" style="3" customWidth="1"/>
    <col min="23" max="23" width="15.85546875" customWidth="1"/>
    <col min="24" max="24" width="17.42578125" customWidth="1"/>
    <col min="25" max="25" width="14.5703125" customWidth="1"/>
    <col min="26" max="26" width="15.7109375" customWidth="1"/>
    <col min="27" max="27" width="20.7109375" bestFit="1" customWidth="1"/>
    <col min="28" max="28" width="15.7109375" customWidth="1"/>
    <col min="30" max="30" width="12" bestFit="1" customWidth="1"/>
  </cols>
  <sheetData>
    <row r="1" spans="1:23" ht="69" customHeight="1" x14ac:dyDescent="0.25"/>
    <row r="2" spans="1:23" ht="19.5" thickBot="1" x14ac:dyDescent="0.35">
      <c r="A2" s="12"/>
      <c r="B2" s="76"/>
      <c r="C2" s="77"/>
      <c r="D2" s="78"/>
      <c r="E2" s="78"/>
      <c r="F2" s="78"/>
      <c r="G2" s="78"/>
      <c r="H2" s="7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</row>
    <row r="3" spans="1:23" ht="18.75" customHeight="1" x14ac:dyDescent="0.25">
      <c r="A3" s="123" t="s">
        <v>0</v>
      </c>
      <c r="B3" s="124"/>
      <c r="H3" s="125" t="s">
        <v>1</v>
      </c>
      <c r="I3" s="126"/>
      <c r="J3" s="58" t="s">
        <v>48</v>
      </c>
      <c r="K3" s="60"/>
      <c r="L3" s="11"/>
      <c r="M3" s="11"/>
      <c r="N3" s="11"/>
      <c r="O3" s="11"/>
      <c r="P3" s="11"/>
      <c r="Q3" s="11"/>
      <c r="R3" s="11"/>
      <c r="S3" s="11"/>
      <c r="T3" s="11"/>
      <c r="U3" s="10"/>
      <c r="V3" s="10"/>
      <c r="W3" s="7"/>
    </row>
    <row r="4" spans="1:23" ht="19.5" thickBot="1" x14ac:dyDescent="0.35">
      <c r="A4" s="1" t="s">
        <v>6</v>
      </c>
      <c r="B4" s="80">
        <f>+H38</f>
        <v>20582.829999999998</v>
      </c>
      <c r="H4" s="2" t="s">
        <v>27</v>
      </c>
      <c r="I4" s="28"/>
      <c r="J4" s="59" t="s">
        <v>49</v>
      </c>
      <c r="K4" s="6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3" ht="16.5" thickBot="1" x14ac:dyDescent="0.3">
      <c r="B5" s="57"/>
      <c r="H5" s="54" t="s">
        <v>20</v>
      </c>
      <c r="I5" s="66"/>
      <c r="J5" s="6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23" ht="19.5" thickBot="1" x14ac:dyDescent="0.35">
      <c r="A6" s="13"/>
      <c r="B6" s="5"/>
      <c r="H6" s="54" t="s">
        <v>18</v>
      </c>
      <c r="I6" s="66">
        <v>235</v>
      </c>
      <c r="J6" s="66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:23" x14ac:dyDescent="0.25">
      <c r="H7" s="54" t="s">
        <v>89</v>
      </c>
      <c r="I7" s="86">
        <v>995</v>
      </c>
      <c r="J7" s="66">
        <v>1400</v>
      </c>
      <c r="L7" s="11"/>
      <c r="M7" s="11"/>
      <c r="N7" s="11"/>
      <c r="O7" s="11"/>
      <c r="P7" s="11"/>
      <c r="Q7" s="11"/>
      <c r="R7" s="11"/>
      <c r="S7" s="11"/>
      <c r="T7" s="11"/>
      <c r="U7" s="11"/>
      <c r="V7" s="9"/>
      <c r="W7" s="9"/>
    </row>
    <row r="8" spans="1:23" x14ac:dyDescent="0.25">
      <c r="H8" s="54" t="s">
        <v>2</v>
      </c>
      <c r="I8" s="86">
        <v>667</v>
      </c>
      <c r="J8" s="66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23" ht="15.75" x14ac:dyDescent="0.25">
      <c r="A9" s="13" t="s">
        <v>38</v>
      </c>
      <c r="B9" s="47">
        <v>1</v>
      </c>
      <c r="C9" s="43" t="s">
        <v>11</v>
      </c>
      <c r="H9" s="54"/>
      <c r="I9" s="66"/>
      <c r="J9" s="66"/>
      <c r="K9" s="11"/>
      <c r="L9" s="11" t="s">
        <v>109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</row>
    <row r="10" spans="1:23" ht="15.75" x14ac:dyDescent="0.25">
      <c r="A10" s="13" t="s">
        <v>40</v>
      </c>
      <c r="B10" s="47">
        <v>15</v>
      </c>
      <c r="C10" s="43" t="s">
        <v>11</v>
      </c>
      <c r="H10" s="54" t="s">
        <v>26</v>
      </c>
      <c r="I10" s="86"/>
      <c r="J10" s="66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</row>
    <row r="11" spans="1:23" x14ac:dyDescent="0.25">
      <c r="A11" s="12"/>
      <c r="H11" s="54" t="s">
        <v>3</v>
      </c>
      <c r="I11" s="66">
        <v>332.58</v>
      </c>
      <c r="J11" s="66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</row>
    <row r="12" spans="1:23" x14ac:dyDescent="0.25">
      <c r="A12" s="12"/>
      <c r="B12" s="20" t="s">
        <v>14</v>
      </c>
      <c r="C12" s="30" t="s">
        <v>22</v>
      </c>
      <c r="D12" s="6" t="s">
        <v>23</v>
      </c>
      <c r="E12" s="6"/>
      <c r="F12" s="6"/>
      <c r="G12" s="6" t="s">
        <v>25</v>
      </c>
      <c r="H12" s="55" t="s">
        <v>4</v>
      </c>
      <c r="I12" s="66">
        <v>472.13</v>
      </c>
      <c r="J12" s="66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</row>
    <row r="13" spans="1:23" x14ac:dyDescent="0.25">
      <c r="A13" s="19" t="s">
        <v>15</v>
      </c>
      <c r="B13" s="81"/>
      <c r="C13" s="51" t="s">
        <v>24</v>
      </c>
      <c r="D13" s="52"/>
      <c r="E13" s="52"/>
      <c r="F13" s="52"/>
      <c r="G13" s="53"/>
      <c r="H13" s="55" t="s">
        <v>12</v>
      </c>
      <c r="I13" s="86" t="s">
        <v>93</v>
      </c>
      <c r="J13" s="66"/>
      <c r="K13" s="11"/>
      <c r="L13" s="11"/>
      <c r="M13" s="11"/>
      <c r="P13" s="11"/>
      <c r="Q13" s="11"/>
      <c r="R13" s="11"/>
      <c r="S13" s="11"/>
      <c r="T13" s="11"/>
      <c r="U13" s="11"/>
      <c r="V13" s="11"/>
      <c r="W13" s="11"/>
    </row>
    <row r="14" spans="1:23" ht="15.75" thickBot="1" x14ac:dyDescent="0.3">
      <c r="A14" s="21" t="s">
        <v>16</v>
      </c>
      <c r="B14" s="81"/>
      <c r="C14" s="51" t="s">
        <v>21</v>
      </c>
      <c r="D14" s="52"/>
      <c r="E14" s="52"/>
      <c r="F14" s="52"/>
      <c r="G14" s="53"/>
      <c r="H14" s="55" t="s">
        <v>5</v>
      </c>
      <c r="I14" s="66">
        <v>250</v>
      </c>
      <c r="J14" s="66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 ht="19.5" thickBot="1" x14ac:dyDescent="0.35">
      <c r="A15" s="21" t="s">
        <v>17</v>
      </c>
      <c r="B15" s="81"/>
      <c r="C15" s="51" t="s">
        <v>21</v>
      </c>
      <c r="D15" s="52"/>
      <c r="E15" s="52"/>
      <c r="F15" s="52"/>
      <c r="G15" s="53"/>
      <c r="H15" s="4" t="s">
        <v>7</v>
      </c>
      <c r="I15" s="56">
        <f>SUM(I5:I14)</f>
        <v>2951.71</v>
      </c>
      <c r="J15" s="56">
        <f>SUM(J4:J14)</f>
        <v>1400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1:23" ht="18.75" x14ac:dyDescent="0.3">
      <c r="A16" s="12"/>
      <c r="B16" s="82">
        <f>SUM(B13:B15)</f>
        <v>0</v>
      </c>
      <c r="H16" s="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1:30" ht="28.5" x14ac:dyDescent="0.45">
      <c r="A17" s="83" t="s">
        <v>90</v>
      </c>
      <c r="B17" s="84">
        <f>+B4-B16</f>
        <v>20582.829999999998</v>
      </c>
      <c r="H17" s="4"/>
      <c r="I17" s="14"/>
      <c r="J17" s="14"/>
      <c r="K17" s="14"/>
      <c r="L17" s="14"/>
      <c r="M17" s="14"/>
      <c r="N17" s="14"/>
      <c r="O17" s="14"/>
      <c r="P17" s="14"/>
      <c r="Q17" s="14"/>
      <c r="R17" s="100"/>
      <c r="S17" s="14"/>
      <c r="T17" s="14"/>
      <c r="U17" s="14"/>
      <c r="V17" s="14"/>
      <c r="W17" s="14"/>
    </row>
    <row r="18" spans="1:30" ht="21" x14ac:dyDescent="0.35">
      <c r="A18" s="12"/>
      <c r="B18" s="15" t="s">
        <v>47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B18" s="4"/>
    </row>
    <row r="19" spans="1:30" ht="60.75" customHeight="1" x14ac:dyDescent="0.45">
      <c r="A19" s="35" t="s">
        <v>28</v>
      </c>
      <c r="B19" s="35" t="s">
        <v>9</v>
      </c>
      <c r="C19" s="35" t="s">
        <v>10</v>
      </c>
      <c r="D19" s="35" t="s">
        <v>30</v>
      </c>
      <c r="E19" s="87" t="s">
        <v>106</v>
      </c>
      <c r="F19" s="87" t="s">
        <v>107</v>
      </c>
      <c r="G19" s="33" t="s">
        <v>13</v>
      </c>
      <c r="H19" s="33" t="s">
        <v>36</v>
      </c>
      <c r="I19" s="36" t="s">
        <v>61</v>
      </c>
      <c r="J19" s="36" t="s">
        <v>35</v>
      </c>
      <c r="K19" s="36" t="s">
        <v>39</v>
      </c>
      <c r="L19" s="36" t="s">
        <v>37</v>
      </c>
      <c r="M19" s="37" t="s">
        <v>31</v>
      </c>
      <c r="N19" s="39" t="s">
        <v>32</v>
      </c>
      <c r="O19" s="36" t="s">
        <v>60</v>
      </c>
      <c r="P19" s="37" t="s">
        <v>34</v>
      </c>
      <c r="Q19" s="16" t="s">
        <v>110</v>
      </c>
      <c r="R19" s="16" t="s">
        <v>111</v>
      </c>
      <c r="S19" s="16" t="s">
        <v>42</v>
      </c>
      <c r="T19" s="85" t="s">
        <v>91</v>
      </c>
      <c r="U19" s="16" t="s">
        <v>114</v>
      </c>
      <c r="V19" s="16" t="s">
        <v>33</v>
      </c>
      <c r="W19" s="16" t="s">
        <v>115</v>
      </c>
      <c r="X19" s="16" t="s">
        <v>136</v>
      </c>
      <c r="Y19" s="16" t="s">
        <v>44</v>
      </c>
      <c r="Z19" s="16" t="s">
        <v>112</v>
      </c>
      <c r="AA19" s="16" t="s">
        <v>113</v>
      </c>
      <c r="AB19" s="104" t="s">
        <v>138</v>
      </c>
      <c r="AC19" s="104" t="s">
        <v>137</v>
      </c>
      <c r="AD19" s="104" t="s">
        <v>139</v>
      </c>
    </row>
    <row r="20" spans="1:30" x14ac:dyDescent="0.25">
      <c r="A20" s="62" t="s">
        <v>116</v>
      </c>
      <c r="B20" s="63" t="s">
        <v>95</v>
      </c>
      <c r="C20" s="45">
        <v>1000</v>
      </c>
      <c r="D20" s="61">
        <f>IF(C20&lt;&gt;0,+H20/H$38*100,"")</f>
        <v>42.754081921679379</v>
      </c>
      <c r="E20" s="107">
        <v>8.8000000000000007</v>
      </c>
      <c r="F20" s="61">
        <f>IF(C20&lt;&gt;0,C20*E20,"")</f>
        <v>8800</v>
      </c>
      <c r="G20" s="107">
        <v>8.8000000000000007</v>
      </c>
      <c r="H20" s="34">
        <f>IF(C20&lt;&gt;0,C20*G20,"")</f>
        <v>8800</v>
      </c>
      <c r="I20" s="34">
        <f t="shared" ref="I20:I37" si="0">IF(C20&lt;&gt;0,+I$15*D20/100,"")</f>
        <v>1261.9765114904026</v>
      </c>
      <c r="J20" s="34">
        <f t="shared" ref="J20:J37" si="1">IF(C20&lt;&gt;0,+J$38*$D20/100, "")</f>
        <v>87.996451411200482</v>
      </c>
      <c r="K20" s="34">
        <f t="shared" ref="K20:K37" si="2">IF(C20&lt;&gt;0,+K$38*D20/100,"")</f>
        <v>598.55714690351135</v>
      </c>
      <c r="L20" s="34">
        <f t="shared" ref="L20:L37" si="3">IF(C20&lt;&gt;0,+H20+K20+J20,"")</f>
        <v>9486.5535983147111</v>
      </c>
      <c r="M20" s="34">
        <f t="shared" ref="M20:M37" si="4">IF(C20&lt;&gt;0,+L20*0.005,"")</f>
        <v>47.432767991573556</v>
      </c>
      <c r="N20" s="67">
        <f t="shared" ref="N20:N37" si="5">IF(C20&lt;&gt;"",VLOOKUP(A20,Aranceles,3,0)*L20/100,"")</f>
        <v>2371.6383995786778</v>
      </c>
      <c r="O20" s="67">
        <f t="shared" ref="O20:O37" si="6">IF(C20&lt;&gt;0,+L20+M20+N20,"")</f>
        <v>11905.624765884962</v>
      </c>
      <c r="P20" s="67">
        <f>IF(C20&lt;&gt;0,+Tabla13432[[#This Row],[Base Para el Iva]]*B$10/100,"")</f>
        <v>1785.8437148827443</v>
      </c>
      <c r="Q20" s="34">
        <f t="shared" ref="Q20:Q37" si="7">IF(C20&lt;&gt;0,+I20+J20+K20+M20+N20,"")</f>
        <v>4367.6012773753664</v>
      </c>
      <c r="R20" s="34">
        <f>IF(C20&lt;&gt;0,+Q20+F20,"")</f>
        <v>13167.601277375366</v>
      </c>
      <c r="S20" s="40">
        <f>IF(C20&lt;&gt;"",+R20/C20,"")</f>
        <v>13.167601277375367</v>
      </c>
      <c r="T20" s="41">
        <f>IF(C20&lt;&gt;"",++(Tabla13432[[#This Row],[COSTO UNITARIO ]]-E20)/E20*100,"")</f>
        <v>49.631832697447336</v>
      </c>
      <c r="U20" s="48">
        <v>51.5</v>
      </c>
      <c r="V20" s="40">
        <f t="shared" ref="V20:V37" si="8">IF(C20&lt;&gt;"",S20+(S20*U20/100),"")</f>
        <v>19.948915935223681</v>
      </c>
      <c r="W20" s="48">
        <v>22.71</v>
      </c>
      <c r="X20" s="42">
        <f t="shared" ref="X20:X37" si="9">IF(C20&lt;&gt;"",+C20*V20,"")</f>
        <v>19948.915935223682</v>
      </c>
      <c r="Y20" s="41">
        <f t="shared" ref="Y20:Y37" si="10">IF(C20&lt;&gt;"",+X20-R20,"")</f>
        <v>6781.3146578483156</v>
      </c>
      <c r="Z20" s="102">
        <f>IF(C20&lt;&gt;"",+Tabla13432[[#This Row],[Precio de Venta en Mercado en Dolares]]*C20,"")</f>
        <v>22710</v>
      </c>
      <c r="AA20" s="103">
        <f>IF(C20&lt;&gt;"",+Tabla13432[[#This Row],[Proyeccion Ventas]]-Tabla13432[[#This Row],[COSTO TOTAL ]],"")</f>
        <v>9542.3987226246336</v>
      </c>
      <c r="AB20" s="105">
        <f t="shared" ref="AB20:AB37" si="11">IF(C20&lt;&gt;"",+V20*(1 + (B$10/100)),"")</f>
        <v>22.941253325507233</v>
      </c>
      <c r="AC20" s="48">
        <v>27</v>
      </c>
      <c r="AD20" s="105">
        <f>IF(C20&lt;&gt;"",++AB20*(1+(AC20/100)),"")</f>
        <v>29.135391723394186</v>
      </c>
    </row>
    <row r="21" spans="1:30" x14ac:dyDescent="0.25">
      <c r="A21" s="62" t="s">
        <v>116</v>
      </c>
      <c r="B21" s="63" t="s">
        <v>96</v>
      </c>
      <c r="C21" s="45">
        <v>500</v>
      </c>
      <c r="D21" s="61">
        <f t="shared" ref="D21:D33" si="12">IF(C21&lt;&gt;0,+H21/H$38*100,"")</f>
        <v>19.433673600763356</v>
      </c>
      <c r="E21" s="107">
        <v>8</v>
      </c>
      <c r="F21" s="61">
        <f t="shared" ref="F21:F36" si="13">IF(C21&lt;&gt;0,C21*E21,"")</f>
        <v>4000</v>
      </c>
      <c r="G21" s="107">
        <v>8</v>
      </c>
      <c r="H21" s="34">
        <f t="shared" ref="H21:H37" si="14">IF(C21&lt;&gt;0,C21*G21,"")</f>
        <v>4000</v>
      </c>
      <c r="I21" s="34">
        <f t="shared" si="0"/>
        <v>573.62568704109208</v>
      </c>
      <c r="J21" s="34">
        <f t="shared" si="1"/>
        <v>39.998387005091139</v>
      </c>
      <c r="K21" s="34">
        <f t="shared" si="2"/>
        <v>272.07143041068701</v>
      </c>
      <c r="L21" s="34">
        <f t="shared" si="3"/>
        <v>4312.0698174157778</v>
      </c>
      <c r="M21" s="34">
        <f t="shared" si="4"/>
        <v>21.56034908707889</v>
      </c>
      <c r="N21" s="67">
        <f t="shared" si="5"/>
        <v>1078.0174543539445</v>
      </c>
      <c r="O21" s="67">
        <f t="shared" si="6"/>
        <v>5411.647620856801</v>
      </c>
      <c r="P21" s="67">
        <f>IF(C21&lt;&gt;0,+Tabla13432[[#This Row],[Base Para el Iva]]*B$10/100,"")</f>
        <v>811.74714312852007</v>
      </c>
      <c r="Q21" s="34">
        <f t="shared" si="7"/>
        <v>1985.2733078978936</v>
      </c>
      <c r="R21" s="34">
        <f t="shared" ref="R21:R37" si="15">IF(C21&lt;&gt;0,+Q21+F21,"")</f>
        <v>5985.2733078978936</v>
      </c>
      <c r="S21" s="40">
        <f t="shared" ref="S21:S37" si="16">IF(C21&lt;&gt;"",+R21/C21,"")</f>
        <v>11.970546615795786</v>
      </c>
      <c r="T21" s="41">
        <f>IF(C21&lt;&gt;"",++(Tabla13432[[#This Row],[COSTO UNITARIO ]]-E21)/E21*100,"")</f>
        <v>49.631832697447329</v>
      </c>
      <c r="U21" s="48">
        <v>45.2</v>
      </c>
      <c r="V21" s="40">
        <f t="shared" si="8"/>
        <v>17.381233686135481</v>
      </c>
      <c r="W21" s="48">
        <v>19.989999999999998</v>
      </c>
      <c r="X21" s="42">
        <f t="shared" si="9"/>
        <v>8690.6168430677408</v>
      </c>
      <c r="Y21" s="41">
        <f t="shared" si="10"/>
        <v>2705.3435351698472</v>
      </c>
      <c r="Z21" s="102">
        <f>IF(C21&lt;&gt;"",+Tabla13432[[#This Row],[Precio de Venta en Mercado en Dolares]]*C21,"")</f>
        <v>9995</v>
      </c>
      <c r="AA21" s="103">
        <f>IF(C21&lt;&gt;"",+Tabla13432[[#This Row],[Proyeccion Ventas]]-Tabla13432[[#This Row],[COSTO TOTAL ]],"")</f>
        <v>4009.7266921021064</v>
      </c>
      <c r="AB21" s="106">
        <f t="shared" si="11"/>
        <v>19.988418739055803</v>
      </c>
      <c r="AC21" s="48">
        <v>27</v>
      </c>
      <c r="AD21" s="105">
        <f t="shared" ref="AD21:AD37" si="17">IF(C21&lt;&gt;"",++AB21*(1+(AC21/100)),"")</f>
        <v>25.385291798600871</v>
      </c>
    </row>
    <row r="22" spans="1:30" x14ac:dyDescent="0.25">
      <c r="A22" s="62" t="s">
        <v>116</v>
      </c>
      <c r="B22" s="63" t="s">
        <v>97</v>
      </c>
      <c r="C22" s="45">
        <v>100</v>
      </c>
      <c r="D22" s="61">
        <f t="shared" si="12"/>
        <v>4.9653036049950385</v>
      </c>
      <c r="E22" s="107">
        <v>10.220000000000001</v>
      </c>
      <c r="F22" s="61">
        <f t="shared" si="13"/>
        <v>1022.0000000000001</v>
      </c>
      <c r="G22" s="107">
        <v>10.220000000000001</v>
      </c>
      <c r="H22" s="34">
        <f t="shared" si="14"/>
        <v>1022.0000000000001</v>
      </c>
      <c r="I22" s="34">
        <f t="shared" si="0"/>
        <v>146.56136303899905</v>
      </c>
      <c r="J22" s="34">
        <f t="shared" si="1"/>
        <v>10.219587879800788</v>
      </c>
      <c r="K22" s="34">
        <f t="shared" si="2"/>
        <v>69.514250469930545</v>
      </c>
      <c r="L22" s="34">
        <f t="shared" si="3"/>
        <v>1101.7338383497315</v>
      </c>
      <c r="M22" s="34">
        <f t="shared" si="4"/>
        <v>5.5086691917486581</v>
      </c>
      <c r="N22" s="67">
        <f t="shared" si="5"/>
        <v>275.43345958743288</v>
      </c>
      <c r="O22" s="67">
        <f t="shared" si="6"/>
        <v>1382.675967128913</v>
      </c>
      <c r="P22" s="67">
        <f>IF(C22&lt;&gt;0,+Tabla13432[[#This Row],[Base Para el Iva]]*B$10/100,"")</f>
        <v>207.40139506933693</v>
      </c>
      <c r="Q22" s="34">
        <f t="shared" si="7"/>
        <v>507.23733016791192</v>
      </c>
      <c r="R22" s="34">
        <f t="shared" si="15"/>
        <v>1529.237330167912</v>
      </c>
      <c r="S22" s="40">
        <f t="shared" si="16"/>
        <v>15.29237330167912</v>
      </c>
      <c r="T22" s="41">
        <f>IF(C22&lt;&gt;"",++(Tabla13432[[#This Row],[COSTO UNITARIO ]]-E22)/E22*100,"")</f>
        <v>49.631832697447351</v>
      </c>
      <c r="U22" s="48">
        <v>53.5</v>
      </c>
      <c r="V22" s="40">
        <f t="shared" si="8"/>
        <v>23.473793018077451</v>
      </c>
      <c r="W22" s="48">
        <v>26.99</v>
      </c>
      <c r="X22" s="42">
        <f t="shared" si="9"/>
        <v>2347.3793018077449</v>
      </c>
      <c r="Y22" s="41">
        <f t="shared" si="10"/>
        <v>818.14197163983295</v>
      </c>
      <c r="Z22" s="102">
        <f>IF(C22&lt;&gt;"",+Tabla13432[[#This Row],[Precio de Venta en Mercado en Dolares]]*C22,"")</f>
        <v>2699</v>
      </c>
      <c r="AA22" s="103">
        <f>IF(C22&lt;&gt;"",+Tabla13432[[#This Row],[Proyeccion Ventas]]-Tabla13432[[#This Row],[COSTO TOTAL ]],"")</f>
        <v>1169.762669832088</v>
      </c>
      <c r="AB22" s="105">
        <f t="shared" si="11"/>
        <v>26.994861970789067</v>
      </c>
      <c r="AC22" s="48">
        <v>30</v>
      </c>
      <c r="AD22" s="105">
        <f t="shared" si="17"/>
        <v>35.093320562025788</v>
      </c>
    </row>
    <row r="23" spans="1:30" x14ac:dyDescent="0.25">
      <c r="A23" s="62" t="s">
        <v>116</v>
      </c>
      <c r="B23" s="63" t="s">
        <v>98</v>
      </c>
      <c r="C23" s="45">
        <v>500</v>
      </c>
      <c r="D23" s="61">
        <f t="shared" si="12"/>
        <v>19.433673600763356</v>
      </c>
      <c r="E23" s="107">
        <v>8</v>
      </c>
      <c r="F23" s="61">
        <f t="shared" si="13"/>
        <v>4000</v>
      </c>
      <c r="G23" s="107">
        <v>8</v>
      </c>
      <c r="H23" s="34">
        <f t="shared" si="14"/>
        <v>4000</v>
      </c>
      <c r="I23" s="34">
        <f t="shared" si="0"/>
        <v>573.62568704109208</v>
      </c>
      <c r="J23" s="34">
        <f t="shared" si="1"/>
        <v>39.998387005091139</v>
      </c>
      <c r="K23" s="34">
        <f t="shared" si="2"/>
        <v>272.07143041068701</v>
      </c>
      <c r="L23" s="34">
        <f t="shared" si="3"/>
        <v>4312.0698174157778</v>
      </c>
      <c r="M23" s="34">
        <f t="shared" si="4"/>
        <v>21.56034908707889</v>
      </c>
      <c r="N23" s="67">
        <f t="shared" si="5"/>
        <v>1078.0174543539445</v>
      </c>
      <c r="O23" s="67">
        <f t="shared" si="6"/>
        <v>5411.647620856801</v>
      </c>
      <c r="P23" s="67">
        <f>IF(C23&lt;&gt;0,+Tabla13432[[#This Row],[Base Para el Iva]]*B$10/100,"")</f>
        <v>811.74714312852007</v>
      </c>
      <c r="Q23" s="34">
        <f t="shared" si="7"/>
        <v>1985.2733078978936</v>
      </c>
      <c r="R23" s="34">
        <f t="shared" si="15"/>
        <v>5985.2733078978936</v>
      </c>
      <c r="S23" s="40">
        <f t="shared" si="16"/>
        <v>11.970546615795786</v>
      </c>
      <c r="T23" s="41">
        <f>IF(C23&lt;&gt;"",++(Tabla13432[[#This Row],[COSTO UNITARIO ]]-E23)/E23*100,"")</f>
        <v>49.631832697447329</v>
      </c>
      <c r="U23" s="48">
        <v>45.2</v>
      </c>
      <c r="V23" s="40">
        <f t="shared" si="8"/>
        <v>17.381233686135481</v>
      </c>
      <c r="W23" s="48">
        <v>19.989999999999998</v>
      </c>
      <c r="X23" s="42">
        <f t="shared" si="9"/>
        <v>8690.6168430677408</v>
      </c>
      <c r="Y23" s="41">
        <f t="shared" si="10"/>
        <v>2705.3435351698472</v>
      </c>
      <c r="Z23" s="102">
        <f>IF(C23&lt;&gt;"",+Tabla13432[[#This Row],[Precio de Venta en Mercado en Dolares]]*C23,"")</f>
        <v>9995</v>
      </c>
      <c r="AA23" s="103">
        <f>IF(C23&lt;&gt;"",+Tabla13432[[#This Row],[Proyeccion Ventas]]-Tabla13432[[#This Row],[COSTO TOTAL ]],"")</f>
        <v>4009.7266921021064</v>
      </c>
      <c r="AB23" s="106">
        <f t="shared" si="11"/>
        <v>19.988418739055803</v>
      </c>
      <c r="AC23" s="48">
        <v>27</v>
      </c>
      <c r="AD23" s="105">
        <f t="shared" si="17"/>
        <v>25.385291798600871</v>
      </c>
    </row>
    <row r="24" spans="1:30" x14ac:dyDescent="0.25">
      <c r="A24" s="62" t="s">
        <v>116</v>
      </c>
      <c r="B24" s="63" t="s">
        <v>99</v>
      </c>
      <c r="C24" s="45">
        <v>1</v>
      </c>
      <c r="D24" s="61">
        <f t="shared" si="12"/>
        <v>5.9612793770341593E-2</v>
      </c>
      <c r="E24" s="107">
        <v>12.27</v>
      </c>
      <c r="F24" s="61">
        <f t="shared" si="13"/>
        <v>12.27</v>
      </c>
      <c r="G24" s="107">
        <v>12.27</v>
      </c>
      <c r="H24" s="34">
        <f t="shared" si="14"/>
        <v>12.27</v>
      </c>
      <c r="I24" s="34">
        <f t="shared" si="0"/>
        <v>1.7595967949985498</v>
      </c>
      <c r="J24" s="34">
        <f t="shared" si="1"/>
        <v>0.12269505213811707</v>
      </c>
      <c r="K24" s="34">
        <f t="shared" si="2"/>
        <v>0.83457911278478236</v>
      </c>
      <c r="L24" s="34">
        <f t="shared" si="3"/>
        <v>13.227274164922898</v>
      </c>
      <c r="M24" s="34">
        <f t="shared" si="4"/>
        <v>6.6136370824614488E-2</v>
      </c>
      <c r="N24" s="67">
        <f t="shared" si="5"/>
        <v>3.3068185412307245</v>
      </c>
      <c r="O24" s="67">
        <f t="shared" si="6"/>
        <v>16.600229076978238</v>
      </c>
      <c r="P24" s="67">
        <f>IF(C24&lt;&gt;0,+Tabla13432[[#This Row],[Base Para el Iva]]*B$10/100,"")</f>
        <v>2.4900343615467357</v>
      </c>
      <c r="Q24" s="34">
        <f t="shared" si="7"/>
        <v>6.0898258719767879</v>
      </c>
      <c r="R24" s="34">
        <f t="shared" si="15"/>
        <v>18.359825871976788</v>
      </c>
      <c r="S24" s="40">
        <f t="shared" si="16"/>
        <v>18.359825871976788</v>
      </c>
      <c r="T24" s="41">
        <f>IF(C24&lt;&gt;"",++(Tabla13432[[#This Row],[COSTO UNITARIO ]]-E24)/E24*100,"")</f>
        <v>49.631832697447344</v>
      </c>
      <c r="U24" s="48">
        <v>50</v>
      </c>
      <c r="V24" s="40">
        <f t="shared" si="8"/>
        <v>27.539738807965183</v>
      </c>
      <c r="W24" s="48">
        <v>31.67</v>
      </c>
      <c r="X24" s="42">
        <f t="shared" si="9"/>
        <v>27.539738807965183</v>
      </c>
      <c r="Y24" s="41">
        <f t="shared" si="10"/>
        <v>9.1799129359883942</v>
      </c>
      <c r="Z24" s="102">
        <f>IF(C24&lt;&gt;"",+Tabla13432[[#This Row],[Precio de Venta en Mercado en Dolares]]*C24,"")</f>
        <v>31.67</v>
      </c>
      <c r="AA24" s="103">
        <f>IF(C24&lt;&gt;"",+Tabla13432[[#This Row],[Proyeccion Ventas]]-Tabla13432[[#This Row],[COSTO TOTAL ]],"")</f>
        <v>13.310174128023213</v>
      </c>
      <c r="AB24" s="105">
        <f t="shared" si="11"/>
        <v>31.670699629159959</v>
      </c>
      <c r="AC24" s="48">
        <v>27</v>
      </c>
      <c r="AD24" s="105">
        <f t="shared" si="17"/>
        <v>40.221788529033148</v>
      </c>
    </row>
    <row r="25" spans="1:30" x14ac:dyDescent="0.25">
      <c r="A25" s="62" t="s">
        <v>116</v>
      </c>
      <c r="B25" s="63" t="s">
        <v>100</v>
      </c>
      <c r="C25" s="45">
        <v>1</v>
      </c>
      <c r="D25" s="61">
        <f t="shared" si="12"/>
        <v>5.9661377954343495E-2</v>
      </c>
      <c r="E25" s="107">
        <v>12.28</v>
      </c>
      <c r="F25" s="61">
        <f t="shared" si="13"/>
        <v>12.28</v>
      </c>
      <c r="G25" s="107">
        <v>12.28</v>
      </c>
      <c r="H25" s="34">
        <f t="shared" si="14"/>
        <v>12.28</v>
      </c>
      <c r="I25" s="34">
        <f t="shared" si="0"/>
        <v>1.7610308592161525</v>
      </c>
      <c r="J25" s="34">
        <f t="shared" si="1"/>
        <v>0.12279504810562977</v>
      </c>
      <c r="K25" s="34">
        <f t="shared" si="2"/>
        <v>0.8352592913608089</v>
      </c>
      <c r="L25" s="34">
        <f t="shared" si="3"/>
        <v>13.238054339466437</v>
      </c>
      <c r="M25" s="34">
        <f t="shared" si="4"/>
        <v>6.6190271697332187E-2</v>
      </c>
      <c r="N25" s="67">
        <f t="shared" si="5"/>
        <v>3.3095135848666093</v>
      </c>
      <c r="O25" s="67">
        <f t="shared" si="6"/>
        <v>16.613758196030378</v>
      </c>
      <c r="P25" s="67">
        <f>IF(C25&lt;&gt;0,+Tabla13432[[#This Row],[Base Para el Iva]]*B$10/100,"")</f>
        <v>2.4920637294045567</v>
      </c>
      <c r="Q25" s="34">
        <f t="shared" si="7"/>
        <v>6.0947890552465331</v>
      </c>
      <c r="R25" s="34">
        <f t="shared" si="15"/>
        <v>18.374789055246531</v>
      </c>
      <c r="S25" s="40">
        <f t="shared" si="16"/>
        <v>18.374789055246531</v>
      </c>
      <c r="T25" s="41">
        <f>IF(C25&lt;&gt;"",++(Tabla13432[[#This Row],[COSTO UNITARIO ]]-E25)/E25*100,"")</f>
        <v>49.631832697447322</v>
      </c>
      <c r="U25" s="48">
        <v>100</v>
      </c>
      <c r="V25" s="40">
        <f t="shared" si="8"/>
        <v>36.749578110493061</v>
      </c>
      <c r="W25" s="48">
        <v>42.26</v>
      </c>
      <c r="X25" s="42">
        <f t="shared" si="9"/>
        <v>36.749578110493061</v>
      </c>
      <c r="Y25" s="41">
        <f t="shared" si="10"/>
        <v>18.374789055246531</v>
      </c>
      <c r="Z25" s="102">
        <f>IF(C25&lt;&gt;"",+Tabla13432[[#This Row],[Precio de Venta en Mercado en Dolares]]*C25,"")</f>
        <v>42.26</v>
      </c>
      <c r="AA25" s="103">
        <f>IF(C25&lt;&gt;"",+Tabla13432[[#This Row],[Proyeccion Ventas]]-Tabla13432[[#This Row],[COSTO TOTAL ]],"")</f>
        <v>23.885210944753467</v>
      </c>
      <c r="AB25" s="106">
        <f t="shared" si="11"/>
        <v>42.26201482706702</v>
      </c>
      <c r="AC25" s="48">
        <v>27</v>
      </c>
      <c r="AD25" s="105">
        <f t="shared" si="17"/>
        <v>53.672758830375116</v>
      </c>
    </row>
    <row r="26" spans="1:30" x14ac:dyDescent="0.25">
      <c r="A26" s="62" t="s">
        <v>116</v>
      </c>
      <c r="B26" s="63" t="s">
        <v>100</v>
      </c>
      <c r="C26" s="45">
        <v>1</v>
      </c>
      <c r="D26" s="61">
        <f t="shared" si="12"/>
        <v>5.9661377954343495E-2</v>
      </c>
      <c r="E26" s="107">
        <v>12.28</v>
      </c>
      <c r="F26" s="61">
        <f t="shared" si="13"/>
        <v>12.28</v>
      </c>
      <c r="G26" s="107">
        <v>12.28</v>
      </c>
      <c r="H26" s="34">
        <f t="shared" si="14"/>
        <v>12.28</v>
      </c>
      <c r="I26" s="34">
        <f t="shared" si="0"/>
        <v>1.7610308592161525</v>
      </c>
      <c r="J26" s="34">
        <f t="shared" si="1"/>
        <v>0.12279504810562977</v>
      </c>
      <c r="K26" s="34">
        <f t="shared" si="2"/>
        <v>0.8352592913608089</v>
      </c>
      <c r="L26" s="34">
        <f t="shared" si="3"/>
        <v>13.238054339466437</v>
      </c>
      <c r="M26" s="34">
        <f t="shared" si="4"/>
        <v>6.6190271697332187E-2</v>
      </c>
      <c r="N26" s="67">
        <f t="shared" si="5"/>
        <v>3.3095135848666093</v>
      </c>
      <c r="O26" s="67">
        <f t="shared" si="6"/>
        <v>16.613758196030378</v>
      </c>
      <c r="P26" s="67">
        <f>IF(C26&lt;&gt;0,+Tabla13432[[#This Row],[Base Para el Iva]]*B$10/100,"")</f>
        <v>2.4920637294045567</v>
      </c>
      <c r="Q26" s="34">
        <f t="shared" si="7"/>
        <v>6.0947890552465331</v>
      </c>
      <c r="R26" s="34">
        <f t="shared" si="15"/>
        <v>18.374789055246531</v>
      </c>
      <c r="S26" s="40">
        <f t="shared" si="16"/>
        <v>18.374789055246531</v>
      </c>
      <c r="T26" s="41">
        <f>IF(C26&lt;&gt;"",++(Tabla13432[[#This Row],[COSTO UNITARIO ]]-E26)/E26*100,"")</f>
        <v>49.631832697447322</v>
      </c>
      <c r="U26" s="48">
        <v>50</v>
      </c>
      <c r="V26" s="40">
        <f t="shared" si="8"/>
        <v>27.562183582869796</v>
      </c>
      <c r="W26" s="48">
        <v>31.7</v>
      </c>
      <c r="X26" s="42">
        <f t="shared" si="9"/>
        <v>27.562183582869796</v>
      </c>
      <c r="Y26" s="41">
        <f t="shared" si="10"/>
        <v>9.1873945276232654</v>
      </c>
      <c r="Z26" s="102">
        <f>IF(C26&lt;&gt;"",+Tabla13432[[#This Row],[Precio de Venta en Mercado en Dolares]]*C26,"")</f>
        <v>31.7</v>
      </c>
      <c r="AA26" s="103">
        <f>IF(C26&lt;&gt;"",+Tabla13432[[#This Row],[Proyeccion Ventas]]-Tabla13432[[#This Row],[COSTO TOTAL ]],"")</f>
        <v>13.325210944753469</v>
      </c>
      <c r="AB26" s="105">
        <f t="shared" si="11"/>
        <v>31.696511120300261</v>
      </c>
      <c r="AC26" s="48">
        <v>27</v>
      </c>
      <c r="AD26" s="105">
        <f t="shared" si="17"/>
        <v>40.254569122781334</v>
      </c>
    </row>
    <row r="27" spans="1:30" x14ac:dyDescent="0.25">
      <c r="A27" s="62" t="s">
        <v>116</v>
      </c>
      <c r="B27" s="63" t="s">
        <v>101</v>
      </c>
      <c r="C27" s="45">
        <v>1</v>
      </c>
      <c r="D27" s="61">
        <f t="shared" si="12"/>
        <v>5.830102080229007E-2</v>
      </c>
      <c r="E27" s="107">
        <v>12</v>
      </c>
      <c r="F27" s="61">
        <f t="shared" si="13"/>
        <v>12</v>
      </c>
      <c r="G27" s="107">
        <v>12</v>
      </c>
      <c r="H27" s="34">
        <f t="shared" si="14"/>
        <v>12</v>
      </c>
      <c r="I27" s="34">
        <f t="shared" si="0"/>
        <v>1.7208770611232762</v>
      </c>
      <c r="J27" s="34">
        <f t="shared" si="1"/>
        <v>0.11999516101527341</v>
      </c>
      <c r="K27" s="34">
        <f t="shared" si="2"/>
        <v>0.81621429123206102</v>
      </c>
      <c r="L27" s="34">
        <f t="shared" si="3"/>
        <v>12.936209452247335</v>
      </c>
      <c r="M27" s="34">
        <f t="shared" si="4"/>
        <v>6.4681047261236677E-2</v>
      </c>
      <c r="N27" s="67">
        <f t="shared" si="5"/>
        <v>3.2340523630618336</v>
      </c>
      <c r="O27" s="67">
        <f t="shared" si="6"/>
        <v>16.234942862570406</v>
      </c>
      <c r="P27" s="67">
        <f>IF(C27&lt;&gt;0,+Tabla13432[[#This Row],[Base Para el Iva]]*B$10/100,"")</f>
        <v>2.4352414293855613</v>
      </c>
      <c r="Q27" s="34">
        <f t="shared" si="7"/>
        <v>5.9558199236936806</v>
      </c>
      <c r="R27" s="34">
        <f t="shared" si="15"/>
        <v>17.955819923693682</v>
      </c>
      <c r="S27" s="40">
        <f t="shared" si="16"/>
        <v>17.955819923693682</v>
      </c>
      <c r="T27" s="41">
        <f>IF(C27&lt;&gt;"",++(Tabla13432[[#This Row],[COSTO UNITARIO ]]-E27)/E27*100,"")</f>
        <v>49.631832697447351</v>
      </c>
      <c r="U27" s="48">
        <v>50</v>
      </c>
      <c r="V27" s="40">
        <f t="shared" si="8"/>
        <v>26.933729885540522</v>
      </c>
      <c r="W27" s="48">
        <v>30.97</v>
      </c>
      <c r="X27" s="42">
        <f t="shared" si="9"/>
        <v>26.933729885540522</v>
      </c>
      <c r="Y27" s="41">
        <f t="shared" si="10"/>
        <v>8.9779099618468408</v>
      </c>
      <c r="Z27" s="102">
        <f>IF(C27&lt;&gt;"",+Tabla13432[[#This Row],[Precio de Venta en Mercado en Dolares]]*C27,"")</f>
        <v>30.97</v>
      </c>
      <c r="AA27" s="103">
        <f>IF(C27&lt;&gt;"",+Tabla13432[[#This Row],[Proyeccion Ventas]]-Tabla13432[[#This Row],[COSTO TOTAL ]],"")</f>
        <v>13.014180076306317</v>
      </c>
      <c r="AB27" s="106">
        <f t="shared" si="11"/>
        <v>30.973789368371598</v>
      </c>
      <c r="AC27" s="48">
        <v>27</v>
      </c>
      <c r="AD27" s="105">
        <f t="shared" si="17"/>
        <v>39.336712497831932</v>
      </c>
    </row>
    <row r="28" spans="1:30" x14ac:dyDescent="0.25">
      <c r="A28" s="62" t="s">
        <v>116</v>
      </c>
      <c r="B28" s="63" t="s">
        <v>102</v>
      </c>
      <c r="C28" s="45">
        <v>1</v>
      </c>
      <c r="D28" s="61">
        <f t="shared" si="12"/>
        <v>5.830102080229007E-2</v>
      </c>
      <c r="E28" s="107">
        <v>12</v>
      </c>
      <c r="F28" s="61">
        <f t="shared" si="13"/>
        <v>12</v>
      </c>
      <c r="G28" s="107">
        <v>12</v>
      </c>
      <c r="H28" s="34">
        <f t="shared" si="14"/>
        <v>12</v>
      </c>
      <c r="I28" s="34">
        <f t="shared" si="0"/>
        <v>1.7208770611232762</v>
      </c>
      <c r="J28" s="34">
        <f t="shared" si="1"/>
        <v>0.11999516101527341</v>
      </c>
      <c r="K28" s="34">
        <f t="shared" si="2"/>
        <v>0.81621429123206102</v>
      </c>
      <c r="L28" s="34">
        <f t="shared" si="3"/>
        <v>12.936209452247335</v>
      </c>
      <c r="M28" s="34">
        <f t="shared" si="4"/>
        <v>6.4681047261236677E-2</v>
      </c>
      <c r="N28" s="67">
        <f t="shared" si="5"/>
        <v>3.2340523630618336</v>
      </c>
      <c r="O28" s="67">
        <f t="shared" si="6"/>
        <v>16.234942862570406</v>
      </c>
      <c r="P28" s="67">
        <f>IF(C28&lt;&gt;0,+Tabla13432[[#This Row],[Base Para el Iva]]*B$10/100,"")</f>
        <v>2.4352414293855613</v>
      </c>
      <c r="Q28" s="34">
        <f t="shared" si="7"/>
        <v>5.9558199236936806</v>
      </c>
      <c r="R28" s="34">
        <f t="shared" si="15"/>
        <v>17.955819923693682</v>
      </c>
      <c r="S28" s="40">
        <f t="shared" si="16"/>
        <v>17.955819923693682</v>
      </c>
      <c r="T28" s="41">
        <f>IF(C28&lt;&gt;"",++(Tabla13432[[#This Row],[COSTO UNITARIO ]]-E28)/E28*100,"")</f>
        <v>49.631832697447351</v>
      </c>
      <c r="U28" s="48">
        <v>50</v>
      </c>
      <c r="V28" s="40">
        <f t="shared" si="8"/>
        <v>26.933729885540522</v>
      </c>
      <c r="W28" s="48">
        <v>30.97</v>
      </c>
      <c r="X28" s="42">
        <f t="shared" si="9"/>
        <v>26.933729885540522</v>
      </c>
      <c r="Y28" s="41">
        <f t="shared" si="10"/>
        <v>8.9779099618468408</v>
      </c>
      <c r="Z28" s="102">
        <f>IF(C28&lt;&gt;"",+Tabla13432[[#This Row],[Precio de Venta en Mercado en Dolares]]*C28,"")</f>
        <v>30.97</v>
      </c>
      <c r="AA28" s="103">
        <f>IF(C28&lt;&gt;"",+Tabla13432[[#This Row],[Proyeccion Ventas]]-Tabla13432[[#This Row],[COSTO TOTAL ]],"")</f>
        <v>13.014180076306317</v>
      </c>
      <c r="AB28" s="105">
        <f t="shared" si="11"/>
        <v>30.973789368371598</v>
      </c>
      <c r="AC28" s="48">
        <v>27</v>
      </c>
      <c r="AD28" s="105">
        <f t="shared" si="17"/>
        <v>39.336712497831932</v>
      </c>
    </row>
    <row r="29" spans="1:30" x14ac:dyDescent="0.25">
      <c r="A29" s="62" t="s">
        <v>116</v>
      </c>
      <c r="B29" s="63" t="s">
        <v>134</v>
      </c>
      <c r="C29" s="45">
        <v>100</v>
      </c>
      <c r="D29" s="61">
        <f t="shared" si="12"/>
        <v>5.8301020802290067</v>
      </c>
      <c r="E29" s="107">
        <v>12</v>
      </c>
      <c r="F29" s="61">
        <f t="shared" si="13"/>
        <v>1200</v>
      </c>
      <c r="G29" s="107">
        <v>12</v>
      </c>
      <c r="H29" s="34">
        <f t="shared" si="14"/>
        <v>1200</v>
      </c>
      <c r="I29" s="34">
        <f t="shared" si="0"/>
        <v>172.08770611232762</v>
      </c>
      <c r="J29" s="34">
        <f t="shared" si="1"/>
        <v>11.999516101527341</v>
      </c>
      <c r="K29" s="34">
        <f t="shared" si="2"/>
        <v>81.621429123206084</v>
      </c>
      <c r="L29" s="34">
        <f t="shared" si="3"/>
        <v>1293.6209452247335</v>
      </c>
      <c r="M29" s="34">
        <f t="shared" si="4"/>
        <v>6.4681047261236682</v>
      </c>
      <c r="N29" s="67">
        <f t="shared" si="5"/>
        <v>323.40523630618338</v>
      </c>
      <c r="O29" s="67">
        <f t="shared" si="6"/>
        <v>1623.4942862570406</v>
      </c>
      <c r="P29" s="67">
        <f>IF(C29&lt;&gt;0,+Tabla13432[[#This Row],[Base Para el Iva]]*B$10/100,"")</f>
        <v>243.52414293855611</v>
      </c>
      <c r="Q29" s="34">
        <f t="shared" si="7"/>
        <v>595.58199236936809</v>
      </c>
      <c r="R29" s="34">
        <f t="shared" si="15"/>
        <v>1795.581992369368</v>
      </c>
      <c r="S29" s="40">
        <f t="shared" si="16"/>
        <v>17.955819923693682</v>
      </c>
      <c r="T29" s="41">
        <f>IF(C29&lt;&gt;"",++(Tabla13432[[#This Row],[COSTO UNITARIO ]]-E29)/E29*100,"")</f>
        <v>49.631832697447351</v>
      </c>
      <c r="U29" s="48">
        <v>45</v>
      </c>
      <c r="V29" s="40">
        <f t="shared" si="8"/>
        <v>26.03593888935584</v>
      </c>
      <c r="W29" s="48">
        <v>29.94</v>
      </c>
      <c r="X29" s="42">
        <f t="shared" si="9"/>
        <v>2603.5938889355839</v>
      </c>
      <c r="Y29" s="41">
        <f t="shared" si="10"/>
        <v>808.01189656621591</v>
      </c>
      <c r="Z29" s="102">
        <f>IF(C29&lt;&gt;"",+Tabla13432[[#This Row],[Precio de Venta en Mercado en Dolares]]*C29,"")</f>
        <v>2994</v>
      </c>
      <c r="AA29" s="103">
        <f>IF(C29&lt;&gt;"",+Tabla13432[[#This Row],[Proyeccion Ventas]]-Tabla13432[[#This Row],[COSTO TOTAL ]],"")</f>
        <v>1198.418007630632</v>
      </c>
      <c r="AB29" s="106">
        <f t="shared" si="11"/>
        <v>29.941329722759214</v>
      </c>
      <c r="AC29" s="48">
        <v>29</v>
      </c>
      <c r="AD29" s="105">
        <f t="shared" si="17"/>
        <v>38.624315342359388</v>
      </c>
    </row>
    <row r="30" spans="1:30" x14ac:dyDescent="0.25">
      <c r="A30" s="62" t="s">
        <v>116</v>
      </c>
      <c r="B30" s="63" t="s">
        <v>135</v>
      </c>
      <c r="C30" s="45">
        <v>100</v>
      </c>
      <c r="D30" s="61">
        <f t="shared" si="12"/>
        <v>5.8301020802290067</v>
      </c>
      <c r="E30" s="107">
        <v>12</v>
      </c>
      <c r="F30" s="61">
        <f t="shared" si="13"/>
        <v>1200</v>
      </c>
      <c r="G30" s="107">
        <v>12</v>
      </c>
      <c r="H30" s="34">
        <f t="shared" si="14"/>
        <v>1200</v>
      </c>
      <c r="I30" s="34">
        <f t="shared" si="0"/>
        <v>172.08770611232762</v>
      </c>
      <c r="J30" s="34">
        <f t="shared" si="1"/>
        <v>11.999516101527341</v>
      </c>
      <c r="K30" s="34">
        <f t="shared" si="2"/>
        <v>81.621429123206084</v>
      </c>
      <c r="L30" s="34">
        <f t="shared" si="3"/>
        <v>1293.6209452247335</v>
      </c>
      <c r="M30" s="34">
        <f t="shared" si="4"/>
        <v>6.4681047261236682</v>
      </c>
      <c r="N30" s="67">
        <f t="shared" si="5"/>
        <v>323.40523630618338</v>
      </c>
      <c r="O30" s="67">
        <f t="shared" si="6"/>
        <v>1623.4942862570406</v>
      </c>
      <c r="P30" s="67">
        <f>IF(C30&lt;&gt;0,+Tabla13432[[#This Row],[Base Para el Iva]]*B$10/100,"")</f>
        <v>243.52414293855611</v>
      </c>
      <c r="Q30" s="34">
        <f t="shared" si="7"/>
        <v>595.58199236936809</v>
      </c>
      <c r="R30" s="34">
        <f t="shared" si="15"/>
        <v>1795.581992369368</v>
      </c>
      <c r="S30" s="40">
        <f t="shared" si="16"/>
        <v>17.955819923693682</v>
      </c>
      <c r="T30" s="41">
        <f>IF(C30&lt;&gt;"",++(Tabla13432[[#This Row],[COSTO UNITARIO ]]-E30)/E30*100,"")</f>
        <v>49.631832697447351</v>
      </c>
      <c r="U30" s="48">
        <v>45</v>
      </c>
      <c r="V30" s="40">
        <f t="shared" si="8"/>
        <v>26.03593888935584</v>
      </c>
      <c r="W30" s="48">
        <v>29.94</v>
      </c>
      <c r="X30" s="42">
        <f t="shared" si="9"/>
        <v>2603.5938889355839</v>
      </c>
      <c r="Y30" s="41">
        <f t="shared" si="10"/>
        <v>808.01189656621591</v>
      </c>
      <c r="Z30" s="102">
        <f>IF(C30&lt;&gt;"",+Tabla13432[[#This Row],[Precio de Venta en Mercado en Dolares]]*C30,"")</f>
        <v>2994</v>
      </c>
      <c r="AA30" s="103">
        <f>IF(C30&lt;&gt;"",+Tabla13432[[#This Row],[Proyeccion Ventas]]-Tabla13432[[#This Row],[COSTO TOTAL ]],"")</f>
        <v>1198.418007630632</v>
      </c>
      <c r="AB30" s="105">
        <f t="shared" si="11"/>
        <v>29.941329722759214</v>
      </c>
      <c r="AC30" s="48">
        <v>29</v>
      </c>
      <c r="AD30" s="105">
        <f t="shared" si="17"/>
        <v>38.624315342359388</v>
      </c>
    </row>
    <row r="31" spans="1:30" x14ac:dyDescent="0.25">
      <c r="A31" s="64" t="s">
        <v>117</v>
      </c>
      <c r="B31" s="63" t="s">
        <v>103</v>
      </c>
      <c r="C31" s="45">
        <v>3000</v>
      </c>
      <c r="D31" s="61">
        <f t="shared" si="12"/>
        <v>1.4575255200572517</v>
      </c>
      <c r="E31" s="107">
        <v>0.1</v>
      </c>
      <c r="F31" s="61">
        <f t="shared" si="13"/>
        <v>300</v>
      </c>
      <c r="G31" s="107">
        <v>0.1</v>
      </c>
      <c r="H31" s="34">
        <f t="shared" si="14"/>
        <v>300</v>
      </c>
      <c r="I31" s="34">
        <f t="shared" si="0"/>
        <v>43.021926528081906</v>
      </c>
      <c r="J31" s="34">
        <f t="shared" si="1"/>
        <v>2.9998790253818353</v>
      </c>
      <c r="K31" s="34">
        <f t="shared" si="2"/>
        <v>20.405357280801521</v>
      </c>
      <c r="L31" s="34">
        <f t="shared" si="3"/>
        <v>323.40523630618338</v>
      </c>
      <c r="M31" s="34">
        <f t="shared" si="4"/>
        <v>1.617026181530917</v>
      </c>
      <c r="N31" s="67">
        <f t="shared" si="5"/>
        <v>64.681047261236671</v>
      </c>
      <c r="O31" s="67">
        <f t="shared" si="6"/>
        <v>389.70330974895091</v>
      </c>
      <c r="P31" s="67">
        <f>IF(C31&lt;&gt;0,+Tabla13432[[#This Row],[Base Para el Iva]]*B$10/100,"")</f>
        <v>58.455496462342637</v>
      </c>
      <c r="Q31" s="34">
        <f t="shared" si="7"/>
        <v>132.72523627703285</v>
      </c>
      <c r="R31" s="34">
        <f t="shared" si="15"/>
        <v>432.72523627703288</v>
      </c>
      <c r="S31" s="40">
        <f t="shared" si="16"/>
        <v>0.14424174542567764</v>
      </c>
      <c r="T31" s="41">
        <f>IF(C31&lt;&gt;"",++(Tabla13432[[#This Row],[COSTO UNITARIO ]]-E31)/E31*100,"")</f>
        <v>44.241745425677628</v>
      </c>
      <c r="U31" s="48">
        <v>50</v>
      </c>
      <c r="V31" s="40">
        <f t="shared" si="8"/>
        <v>0.21636261813851645</v>
      </c>
      <c r="W31" s="48">
        <v>0.25</v>
      </c>
      <c r="X31" s="42">
        <f t="shared" si="9"/>
        <v>649.08785441554937</v>
      </c>
      <c r="Y31" s="41">
        <f t="shared" si="10"/>
        <v>216.3626181385165</v>
      </c>
      <c r="Z31" s="102">
        <f>IF(C31&lt;&gt;"",+Tabla13432[[#This Row],[Precio de Venta en Mercado en Dolares]]*C31,"")</f>
        <v>750</v>
      </c>
      <c r="AA31" s="103">
        <f>IF(C31&lt;&gt;"",+Tabla13432[[#This Row],[Proyeccion Ventas]]-Tabla13432[[#This Row],[COSTO TOTAL ]],"")</f>
        <v>317.27476372296712</v>
      </c>
      <c r="AB31" s="106">
        <f t="shared" si="11"/>
        <v>0.24881701085929389</v>
      </c>
      <c r="AC31" s="48">
        <v>20</v>
      </c>
      <c r="AD31" s="105">
        <f t="shared" si="17"/>
        <v>0.29858041303115268</v>
      </c>
    </row>
    <row r="32" spans="1:30" x14ac:dyDescent="0.25">
      <c r="A32" s="64"/>
      <c r="B32" s="63"/>
      <c r="C32" s="45"/>
      <c r="D32" s="61" t="str">
        <f t="shared" si="12"/>
        <v/>
      </c>
      <c r="E32" s="107"/>
      <c r="F32" s="61" t="str">
        <f t="shared" si="13"/>
        <v/>
      </c>
      <c r="G32" s="109"/>
      <c r="H32" s="34" t="str">
        <f t="shared" si="14"/>
        <v/>
      </c>
      <c r="I32" s="34" t="str">
        <f t="shared" si="0"/>
        <v/>
      </c>
      <c r="J32" s="34" t="str">
        <f t="shared" si="1"/>
        <v/>
      </c>
      <c r="K32" s="34" t="str">
        <f t="shared" si="2"/>
        <v/>
      </c>
      <c r="L32" s="34" t="str">
        <f t="shared" si="3"/>
        <v/>
      </c>
      <c r="M32" s="34" t="str">
        <f t="shared" si="4"/>
        <v/>
      </c>
      <c r="N32" s="67" t="str">
        <f t="shared" si="5"/>
        <v/>
      </c>
      <c r="O32" s="67" t="str">
        <f t="shared" si="6"/>
        <v/>
      </c>
      <c r="P32" s="67" t="str">
        <f>IF(C32&lt;&gt;0,+Tabla13432[[#This Row],[Base Para el Iva]]*B$10/100,"")</f>
        <v/>
      </c>
      <c r="Q32" s="34" t="str">
        <f t="shared" si="7"/>
        <v/>
      </c>
      <c r="R32" s="34" t="str">
        <f t="shared" si="15"/>
        <v/>
      </c>
      <c r="S32" s="40" t="str">
        <f t="shared" si="16"/>
        <v/>
      </c>
      <c r="T32" s="41" t="str">
        <f>IF(C32&lt;&gt;"",++(Tabla13432[[#This Row],[COSTO UNITARIO ]]-E32)/E32*100,"")</f>
        <v/>
      </c>
      <c r="U32" s="48"/>
      <c r="V32" s="40" t="str">
        <f t="shared" si="8"/>
        <v/>
      </c>
      <c r="W32" s="48"/>
      <c r="X32" s="42" t="str">
        <f t="shared" si="9"/>
        <v/>
      </c>
      <c r="Y32" s="41" t="str">
        <f t="shared" si="10"/>
        <v/>
      </c>
      <c r="Z32" s="102" t="str">
        <f>IF(C32&lt;&gt;"",+Tabla13432[[#This Row],[Precio de Venta en Mercado en Dolares]]*C32,"")</f>
        <v/>
      </c>
      <c r="AA32" s="103" t="str">
        <f>IF(C32&lt;&gt;"",+Tabla13432[[#This Row],[Proyeccion Ventas]]-Tabla13432[[#This Row],[COSTO TOTAL ]],"")</f>
        <v/>
      </c>
      <c r="AB32" s="105" t="str">
        <f t="shared" si="11"/>
        <v/>
      </c>
      <c r="AC32" s="48"/>
      <c r="AD32" s="105" t="str">
        <f t="shared" si="17"/>
        <v/>
      </c>
    </row>
    <row r="33" spans="1:30" x14ac:dyDescent="0.25">
      <c r="A33" s="64"/>
      <c r="B33" s="63"/>
      <c r="C33" s="45"/>
      <c r="D33" s="61" t="str">
        <f t="shared" si="12"/>
        <v/>
      </c>
      <c r="E33" s="108"/>
      <c r="F33" s="61" t="str">
        <f t="shared" si="13"/>
        <v/>
      </c>
      <c r="G33" s="109"/>
      <c r="H33" s="34" t="str">
        <f t="shared" si="14"/>
        <v/>
      </c>
      <c r="I33" s="34" t="str">
        <f t="shared" si="0"/>
        <v/>
      </c>
      <c r="J33" s="34" t="str">
        <f t="shared" si="1"/>
        <v/>
      </c>
      <c r="K33" s="34" t="str">
        <f t="shared" si="2"/>
        <v/>
      </c>
      <c r="L33" s="34" t="str">
        <f t="shared" si="3"/>
        <v/>
      </c>
      <c r="M33" s="34" t="str">
        <f t="shared" si="4"/>
        <v/>
      </c>
      <c r="N33" s="67" t="str">
        <f t="shared" si="5"/>
        <v/>
      </c>
      <c r="O33" s="67" t="str">
        <f t="shared" si="6"/>
        <v/>
      </c>
      <c r="P33" s="67" t="str">
        <f>IF(C33&lt;&gt;0,+Tabla13432[[#This Row],[Base Para el Iva]]*B$10/100,"")</f>
        <v/>
      </c>
      <c r="Q33" s="34" t="str">
        <f t="shared" si="7"/>
        <v/>
      </c>
      <c r="R33" s="34" t="str">
        <f t="shared" si="15"/>
        <v/>
      </c>
      <c r="S33" s="40" t="str">
        <f t="shared" si="16"/>
        <v/>
      </c>
      <c r="T33" s="41" t="str">
        <f>IF(C33&lt;&gt;"",++(Tabla13432[[#This Row],[COSTO UNITARIO ]]-E33)/E33*100,"")</f>
        <v/>
      </c>
      <c r="U33" s="48"/>
      <c r="V33" s="40" t="str">
        <f t="shared" si="8"/>
        <v/>
      </c>
      <c r="W33" s="48"/>
      <c r="X33" s="42" t="str">
        <f t="shared" si="9"/>
        <v/>
      </c>
      <c r="Y33" s="41" t="str">
        <f t="shared" si="10"/>
        <v/>
      </c>
      <c r="Z33" s="102" t="str">
        <f>IF(C33&lt;&gt;"",+Tabla13432[[#This Row],[Precio de Venta en Mercado en Dolares]]*C33,"")</f>
        <v/>
      </c>
      <c r="AA33" s="103" t="str">
        <f>IF(C33&lt;&gt;"",+Tabla13432[[#This Row],[Proyeccion Ventas]]-Tabla13432[[#This Row],[COSTO TOTAL ]],"")</f>
        <v/>
      </c>
      <c r="AB33" s="106" t="str">
        <f t="shared" si="11"/>
        <v/>
      </c>
      <c r="AC33" s="48"/>
      <c r="AD33" s="105" t="str">
        <f t="shared" si="17"/>
        <v/>
      </c>
    </row>
    <row r="34" spans="1:30" x14ac:dyDescent="0.25">
      <c r="A34" s="64"/>
      <c r="B34" s="63"/>
      <c r="C34" s="45"/>
      <c r="D34" s="61" t="str">
        <f>IF(C34&lt;&gt;0,+H34/H$38*100,"")</f>
        <v/>
      </c>
      <c r="E34" s="108"/>
      <c r="F34" s="61" t="str">
        <f t="shared" si="13"/>
        <v/>
      </c>
      <c r="G34" s="109"/>
      <c r="H34" s="34" t="str">
        <f t="shared" si="14"/>
        <v/>
      </c>
      <c r="I34" s="34" t="str">
        <f t="shared" si="0"/>
        <v/>
      </c>
      <c r="J34" s="34" t="str">
        <f t="shared" si="1"/>
        <v/>
      </c>
      <c r="K34" s="34" t="str">
        <f t="shared" si="2"/>
        <v/>
      </c>
      <c r="L34" s="34" t="str">
        <f t="shared" si="3"/>
        <v/>
      </c>
      <c r="M34" s="34" t="str">
        <f t="shared" si="4"/>
        <v/>
      </c>
      <c r="N34" s="67" t="str">
        <f t="shared" si="5"/>
        <v/>
      </c>
      <c r="O34" s="67" t="str">
        <f t="shared" si="6"/>
        <v/>
      </c>
      <c r="P34" s="67" t="str">
        <f>IF(C34&lt;&gt;0,+Tabla13432[[#This Row],[Base Para el Iva]]*B$10/100,"")</f>
        <v/>
      </c>
      <c r="Q34" s="34" t="str">
        <f t="shared" si="7"/>
        <v/>
      </c>
      <c r="R34" s="34" t="str">
        <f t="shared" si="15"/>
        <v/>
      </c>
      <c r="S34" s="40" t="str">
        <f t="shared" si="16"/>
        <v/>
      </c>
      <c r="T34" s="41" t="str">
        <f>IF(C34&lt;&gt;"",++(Tabla13432[[#This Row],[COSTO UNITARIO ]]-E34)/E34*100,"")</f>
        <v/>
      </c>
      <c r="U34" s="48"/>
      <c r="V34" s="40" t="str">
        <f t="shared" si="8"/>
        <v/>
      </c>
      <c r="W34" s="48"/>
      <c r="X34" s="42" t="str">
        <f t="shared" si="9"/>
        <v/>
      </c>
      <c r="Y34" s="41" t="str">
        <f t="shared" si="10"/>
        <v/>
      </c>
      <c r="Z34" s="102" t="str">
        <f>IF(C34&lt;&gt;"",+Tabla13432[[#This Row],[Precio de Venta en Mercado en Dolares]]*C34,"")</f>
        <v/>
      </c>
      <c r="AA34" s="103" t="str">
        <f>IF(C34&lt;&gt;"",+Tabla13432[[#This Row],[Proyeccion Ventas]]-Tabla13432[[#This Row],[COSTO TOTAL ]],"")</f>
        <v/>
      </c>
      <c r="AB34" s="105" t="str">
        <f t="shared" si="11"/>
        <v/>
      </c>
      <c r="AC34" s="48"/>
      <c r="AD34" s="105" t="str">
        <f t="shared" si="17"/>
        <v/>
      </c>
    </row>
    <row r="35" spans="1:30" x14ac:dyDescent="0.25">
      <c r="A35" s="64"/>
      <c r="B35" s="63"/>
      <c r="C35" s="45"/>
      <c r="D35" s="61" t="str">
        <f t="shared" ref="D35:D37" si="18">IF(C35&lt;&gt;0,+H35/H$38*100,"")</f>
        <v/>
      </c>
      <c r="E35" s="108"/>
      <c r="F35" s="61" t="str">
        <f t="shared" si="13"/>
        <v/>
      </c>
      <c r="G35" s="109"/>
      <c r="H35" s="34" t="str">
        <f t="shared" si="14"/>
        <v/>
      </c>
      <c r="I35" s="34" t="str">
        <f t="shared" si="0"/>
        <v/>
      </c>
      <c r="J35" s="34" t="str">
        <f t="shared" si="1"/>
        <v/>
      </c>
      <c r="K35" s="34" t="str">
        <f t="shared" si="2"/>
        <v/>
      </c>
      <c r="L35" s="34" t="str">
        <f t="shared" si="3"/>
        <v/>
      </c>
      <c r="M35" s="34" t="str">
        <f t="shared" si="4"/>
        <v/>
      </c>
      <c r="N35" s="67" t="str">
        <f t="shared" si="5"/>
        <v/>
      </c>
      <c r="O35" s="67" t="str">
        <f t="shared" si="6"/>
        <v/>
      </c>
      <c r="P35" s="67" t="str">
        <f>IF(C35&lt;&gt;0,+Tabla13432[[#This Row],[Base Para el Iva]]*B$10/100,"")</f>
        <v/>
      </c>
      <c r="Q35" s="34" t="str">
        <f t="shared" si="7"/>
        <v/>
      </c>
      <c r="R35" s="34" t="str">
        <f t="shared" si="15"/>
        <v/>
      </c>
      <c r="S35" s="40" t="str">
        <f t="shared" si="16"/>
        <v/>
      </c>
      <c r="T35" s="41" t="str">
        <f>IF(C35&lt;&gt;"",++(Tabla13432[[#This Row],[COSTO UNITARIO ]]-E35)/E35*100,"")</f>
        <v/>
      </c>
      <c r="U35" s="48"/>
      <c r="V35" s="40" t="str">
        <f t="shared" si="8"/>
        <v/>
      </c>
      <c r="W35" s="49"/>
      <c r="X35" s="42" t="str">
        <f t="shared" si="9"/>
        <v/>
      </c>
      <c r="Y35" s="41" t="str">
        <f t="shared" si="10"/>
        <v/>
      </c>
      <c r="Z35" s="102" t="str">
        <f>IF(C35&lt;&gt;"",+Tabla13432[[#This Row],[Precio de Venta en Mercado en Dolares]]*C35,"")</f>
        <v/>
      </c>
      <c r="AA35" s="103" t="str">
        <f>IF(C35&lt;&gt;"",+Tabla13432[[#This Row],[Proyeccion Ventas]]-Tabla13432[[#This Row],[COSTO TOTAL ]],"")</f>
        <v/>
      </c>
      <c r="AB35" s="106" t="str">
        <f t="shared" si="11"/>
        <v/>
      </c>
      <c r="AC35" s="49"/>
      <c r="AD35" s="105" t="str">
        <f t="shared" si="17"/>
        <v/>
      </c>
    </row>
    <row r="36" spans="1:30" x14ac:dyDescent="0.25">
      <c r="A36" s="64"/>
      <c r="B36" s="63"/>
      <c r="C36" s="45"/>
      <c r="D36" s="61" t="str">
        <f t="shared" si="18"/>
        <v/>
      </c>
      <c r="E36" s="108"/>
      <c r="F36" s="61" t="str">
        <f t="shared" si="13"/>
        <v/>
      </c>
      <c r="G36" s="109"/>
      <c r="H36" s="34" t="str">
        <f t="shared" si="14"/>
        <v/>
      </c>
      <c r="I36" s="34" t="str">
        <f t="shared" si="0"/>
        <v/>
      </c>
      <c r="J36" s="34" t="str">
        <f t="shared" si="1"/>
        <v/>
      </c>
      <c r="K36" s="34" t="str">
        <f t="shared" si="2"/>
        <v/>
      </c>
      <c r="L36" s="34" t="str">
        <f t="shared" si="3"/>
        <v/>
      </c>
      <c r="M36" s="34" t="str">
        <f t="shared" si="4"/>
        <v/>
      </c>
      <c r="N36" s="67" t="str">
        <f t="shared" si="5"/>
        <v/>
      </c>
      <c r="O36" s="67" t="str">
        <f t="shared" si="6"/>
        <v/>
      </c>
      <c r="P36" s="67" t="str">
        <f>IF(C36&lt;&gt;0,+Tabla13432[[#This Row],[Base Para el Iva]]*B$10/100,"")</f>
        <v/>
      </c>
      <c r="Q36" s="34" t="str">
        <f t="shared" si="7"/>
        <v/>
      </c>
      <c r="R36" s="34" t="str">
        <f t="shared" si="15"/>
        <v/>
      </c>
      <c r="S36" s="40" t="str">
        <f t="shared" si="16"/>
        <v/>
      </c>
      <c r="T36" s="41" t="str">
        <f>IF(C36&lt;&gt;"",++(Tabla13432[[#This Row],[COSTO UNITARIO ]]-E36)/E36*100,"")</f>
        <v/>
      </c>
      <c r="U36" s="48"/>
      <c r="V36" s="40" t="str">
        <f t="shared" si="8"/>
        <v/>
      </c>
      <c r="W36" s="49"/>
      <c r="X36" s="42" t="str">
        <f t="shared" si="9"/>
        <v/>
      </c>
      <c r="Y36" s="41" t="str">
        <f t="shared" si="10"/>
        <v/>
      </c>
      <c r="Z36" s="102" t="str">
        <f>IF(C36&lt;&gt;"",+Tabla13432[[#This Row],[Precio de Venta en Mercado en Dolares]]*C36,"")</f>
        <v/>
      </c>
      <c r="AA36" s="103" t="str">
        <f>IF(C36&lt;&gt;"",+Tabla13432[[#This Row],[Proyeccion Ventas]]-Tabla13432[[#This Row],[COSTO TOTAL ]],"")</f>
        <v/>
      </c>
      <c r="AB36" s="105" t="str">
        <f t="shared" si="11"/>
        <v/>
      </c>
      <c r="AC36" s="49"/>
      <c r="AD36" s="105" t="str">
        <f t="shared" si="17"/>
        <v/>
      </c>
    </row>
    <row r="37" spans="1:30" x14ac:dyDescent="0.25">
      <c r="A37" s="64"/>
      <c r="B37" s="63"/>
      <c r="C37" s="45"/>
      <c r="D37" s="61" t="str">
        <f t="shared" si="18"/>
        <v/>
      </c>
      <c r="E37" s="108"/>
      <c r="F37" s="61" t="str">
        <f>IF(C37&lt;&gt;0,C37*E37,"")</f>
        <v/>
      </c>
      <c r="G37" s="109"/>
      <c r="H37" s="34" t="str">
        <f t="shared" si="14"/>
        <v/>
      </c>
      <c r="I37" s="34" t="str">
        <f t="shared" si="0"/>
        <v/>
      </c>
      <c r="J37" s="34" t="str">
        <f t="shared" si="1"/>
        <v/>
      </c>
      <c r="K37" s="34" t="str">
        <f t="shared" si="2"/>
        <v/>
      </c>
      <c r="L37" s="34" t="str">
        <f t="shared" si="3"/>
        <v/>
      </c>
      <c r="M37" s="34" t="str">
        <f t="shared" si="4"/>
        <v/>
      </c>
      <c r="N37" s="67" t="str">
        <f t="shared" si="5"/>
        <v/>
      </c>
      <c r="O37" s="67" t="str">
        <f t="shared" si="6"/>
        <v/>
      </c>
      <c r="P37" s="67" t="str">
        <f>IF(C37&lt;&gt;0,+Tabla13432[[#This Row],[Base Para el Iva]]*B$10/100,"")</f>
        <v/>
      </c>
      <c r="Q37" s="34" t="str">
        <f t="shared" si="7"/>
        <v/>
      </c>
      <c r="R37" s="34" t="str">
        <f t="shared" si="15"/>
        <v/>
      </c>
      <c r="S37" s="40" t="str">
        <f t="shared" si="16"/>
        <v/>
      </c>
      <c r="T37" s="41" t="str">
        <f>IF(C37&lt;&gt;"",++(Tabla13432[[#This Row],[COSTO UNITARIO ]]-E37)/E37*100,"")</f>
        <v/>
      </c>
      <c r="U37" s="49"/>
      <c r="V37" s="40" t="str">
        <f t="shared" si="8"/>
        <v/>
      </c>
      <c r="W37" s="49"/>
      <c r="X37" s="42" t="str">
        <f t="shared" si="9"/>
        <v/>
      </c>
      <c r="Y37" s="41" t="str">
        <f t="shared" si="10"/>
        <v/>
      </c>
      <c r="Z37" s="102" t="str">
        <f>IF(C37&lt;&gt;"",+Tabla13432[[#This Row],[Precio de Venta en Mercado en Dolares]]*C37,"")</f>
        <v/>
      </c>
      <c r="AA37" s="103" t="str">
        <f>IF(C37&lt;&gt;"",+Tabla13432[[#This Row],[Proyeccion Ventas]]-Tabla13432[[#This Row],[COSTO TOTAL ]],"")</f>
        <v/>
      </c>
      <c r="AB37" s="106" t="str">
        <f t="shared" si="11"/>
        <v/>
      </c>
      <c r="AC37" s="49"/>
      <c r="AD37" s="105" t="str">
        <f t="shared" si="17"/>
        <v/>
      </c>
    </row>
    <row r="38" spans="1:30" ht="21" x14ac:dyDescent="0.35">
      <c r="A38" s="12"/>
      <c r="B38" s="15" t="s">
        <v>46</v>
      </c>
      <c r="D38" s="75">
        <f>SUM(D20:D37)</f>
        <v>100</v>
      </c>
      <c r="E38" s="75">
        <f>SUM(E20:E37)</f>
        <v>119.95</v>
      </c>
      <c r="F38" s="75">
        <f>SUM(F20:F37)</f>
        <v>20582.829999999998</v>
      </c>
      <c r="G38" s="22" t="s">
        <v>8</v>
      </c>
      <c r="H38" s="75">
        <f>SUM(H20:H37)</f>
        <v>20582.829999999998</v>
      </c>
      <c r="I38" s="17">
        <f>SUBTOTAL(109,Tabla13432[Distribucion Gastos Generales])</f>
        <v>2951.71</v>
      </c>
      <c r="J38" s="46">
        <v>205.82</v>
      </c>
      <c r="K38" s="46">
        <v>1400</v>
      </c>
      <c r="L38" s="17">
        <f>SUBTOTAL(109,Tabla13432[Valor CIF])</f>
        <v>22188.649999999998</v>
      </c>
      <c r="M38" s="17">
        <f>SUBTOTAL(109,Tabla13432[Fodinfa])</f>
        <v>110.94324999999999</v>
      </c>
      <c r="N38" s="17">
        <f>SUBTOTAL(109,Tabla13432[Ad Valorem])</f>
        <v>5530.9922381846909</v>
      </c>
      <c r="O38" s="17">
        <f>SUBTOTAL(109,Tabla13432[Base Para el Iva])</f>
        <v>27830.585488184694</v>
      </c>
      <c r="P38" s="17">
        <f>SUBTOTAL(109,Tabla13432[IVA])</f>
        <v>4174.5878232277046</v>
      </c>
      <c r="Q38" s="38">
        <f>SUBTOTAL(109,Tabla13432[TOTAL GASTOS])</f>
        <v>10199.465488184695</v>
      </c>
      <c r="R38" s="38">
        <f>SUBTOTAL(109,Tabla13432[[COSTO TOTAL ]])</f>
        <v>30782.295488184689</v>
      </c>
      <c r="S38" s="17"/>
      <c r="T38" s="17"/>
      <c r="U38" s="17"/>
      <c r="V38" s="17"/>
      <c r="W38" s="17"/>
      <c r="X38" s="38">
        <f>SUBTOTAL(109,Tabla13432[Venta Total Sin Iva])</f>
        <v>45679.523515726032</v>
      </c>
      <c r="Y38" s="38">
        <f>SUBTOTAL(109,Tabla13432[Utilidad de la Importacion])</f>
        <v>14897.228027541341</v>
      </c>
      <c r="Z38" s="38">
        <f>SUBTOTAL(109,Tabla13432[Proyeccion Ventas])</f>
        <v>52304.57</v>
      </c>
      <c r="AA38" s="38">
        <f>SUBTOTAL(109,Tabla13432[Proyeccion de Utilidad])</f>
        <v>21522.274511815303</v>
      </c>
      <c r="AB38" s="38"/>
      <c r="AD38" s="38"/>
    </row>
    <row r="39" spans="1:30" x14ac:dyDescent="0.25">
      <c r="Y39" s="41"/>
    </row>
    <row r="40" spans="1:30" x14ac:dyDescent="0.25">
      <c r="M40" s="101"/>
    </row>
    <row r="41" spans="1:30" x14ac:dyDescent="0.25">
      <c r="A41" s="110" t="s">
        <v>140</v>
      </c>
      <c r="M41" s="101"/>
    </row>
    <row r="42" spans="1:30" x14ac:dyDescent="0.25">
      <c r="A42" t="s">
        <v>141</v>
      </c>
    </row>
    <row r="43" spans="1:30" x14ac:dyDescent="0.25">
      <c r="A43" t="s">
        <v>142</v>
      </c>
    </row>
    <row r="44" spans="1:30" x14ac:dyDescent="0.25">
      <c r="A44" t="s">
        <v>143</v>
      </c>
    </row>
  </sheetData>
  <sheetProtection algorithmName="SHA-512" hashValue="Jksaijka8UCn9cb3dycSU3uhWE2BiYjXaEBxiAP7lrCCRcSE4b0WisbdIiNpStQMFP94fEpuphxjIfUSA6qJQw==" saltValue="ssw7GnDtyRZzbaniJUxoBA==" spinCount="100000" sheet="1" selectLockedCells="1"/>
  <mergeCells count="2">
    <mergeCell ref="A3:B3"/>
    <mergeCell ref="H3:I3"/>
  </mergeCells>
  <printOptions horizontalCentered="1"/>
  <pageMargins left="0.7" right="0.7" top="0.75" bottom="0.75" header="0.3" footer="0.3"/>
  <pageSetup paperSize="9" fitToHeight="0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piarMatrizANuevoLibroProtegido">
                <anchor moveWithCells="1" sizeWithCells="1">
                  <from>
                    <xdr:col>9</xdr:col>
                    <xdr:colOff>28575</xdr:colOff>
                    <xdr:row>0</xdr:row>
                    <xdr:rowOff>47625</xdr:rowOff>
                  </from>
                  <to>
                    <xdr:col>9</xdr:col>
                    <xdr:colOff>971550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DuplicarMatrizComoNuevaHoja">
                <anchor moveWithCells="1" sizeWithCells="1">
                  <from>
                    <xdr:col>10</xdr:col>
                    <xdr:colOff>38100</xdr:colOff>
                    <xdr:row>0</xdr:row>
                    <xdr:rowOff>38100</xdr:rowOff>
                  </from>
                  <to>
                    <xdr:col>10</xdr:col>
                    <xdr:colOff>933450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EliminarHojaImportacion">
                <anchor moveWithCells="1" sizeWithCells="1">
                  <from>
                    <xdr:col>11</xdr:col>
                    <xdr:colOff>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ResumenDeImportaciones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13</xdr:col>
                    <xdr:colOff>19050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ImprimirImportacionA4Horizontal">
                <anchor moveWithCells="1" sizeWithCells="1">
                  <from>
                    <xdr:col>13</xdr:col>
                    <xdr:colOff>114300</xdr:colOff>
                    <xdr:row>0</xdr:row>
                    <xdr:rowOff>66675</xdr:rowOff>
                  </from>
                  <to>
                    <xdr:col>15</xdr:col>
                    <xdr:colOff>200025</xdr:colOff>
                    <xdr:row>0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"/>
  <sheetViews>
    <sheetView workbookViewId="0">
      <selection activeCell="D21" sqref="D21"/>
    </sheetView>
  </sheetViews>
  <sheetFormatPr baseColWidth="10" defaultRowHeight="15" x14ac:dyDescent="0.25"/>
  <sheetData>
    <row r="1" spans="1:27" ht="30" x14ac:dyDescent="0.25">
      <c r="A1" s="118">
        <v>117115</v>
      </c>
      <c r="B1" s="118">
        <v>70</v>
      </c>
      <c r="C1" s="118">
        <v>49</v>
      </c>
      <c r="D1" s="119">
        <v>46084.48296296296</v>
      </c>
      <c r="E1" s="118">
        <v>1</v>
      </c>
      <c r="F1" s="118" t="s">
        <v>147</v>
      </c>
      <c r="G1" s="118">
        <v>1</v>
      </c>
      <c r="H1" s="118">
        <v>2</v>
      </c>
      <c r="I1" s="118">
        <v>1</v>
      </c>
      <c r="J1" s="118">
        <v>5</v>
      </c>
      <c r="K1" s="118">
        <v>1.8433999999999999</v>
      </c>
      <c r="L1" s="118">
        <v>1.8433999999999999</v>
      </c>
      <c r="M1" s="118">
        <v>2.61</v>
      </c>
      <c r="N1" s="118">
        <v>0</v>
      </c>
      <c r="O1" s="118">
        <v>0</v>
      </c>
      <c r="P1" s="118">
        <v>15</v>
      </c>
      <c r="Q1" s="118">
        <v>1.96</v>
      </c>
      <c r="R1" s="118" t="s">
        <v>148</v>
      </c>
      <c r="S1" s="118">
        <v>0</v>
      </c>
      <c r="T1" s="118">
        <v>0</v>
      </c>
      <c r="U1" s="118">
        <v>0</v>
      </c>
      <c r="V1" s="118">
        <v>9.2170000000000005</v>
      </c>
      <c r="W1" s="118">
        <v>5</v>
      </c>
      <c r="X1" s="118" t="s">
        <v>149</v>
      </c>
      <c r="Y1" s="118">
        <v>0</v>
      </c>
      <c r="Z1" s="118" t="s">
        <v>150</v>
      </c>
      <c r="AA1" s="118">
        <v>5</v>
      </c>
    </row>
    <row r="2" spans="1:27" x14ac:dyDescent="0.25">
      <c r="A2" s="118">
        <v>117115</v>
      </c>
      <c r="B2" s="118">
        <v>70</v>
      </c>
      <c r="C2" s="118">
        <v>50</v>
      </c>
      <c r="D2" s="119">
        <v>46084.48296296296</v>
      </c>
      <c r="E2" s="118">
        <v>1</v>
      </c>
      <c r="F2" s="118">
        <v>220147</v>
      </c>
      <c r="G2" s="118">
        <v>1</v>
      </c>
      <c r="H2" s="118">
        <v>2</v>
      </c>
      <c r="I2" s="118">
        <v>1</v>
      </c>
      <c r="J2" s="118">
        <v>1</v>
      </c>
      <c r="K2" s="118">
        <v>2.2000000000000002</v>
      </c>
      <c r="L2" s="118">
        <v>2.2000000000000002</v>
      </c>
      <c r="M2" s="118">
        <v>3.21</v>
      </c>
      <c r="N2" s="118">
        <v>0</v>
      </c>
      <c r="O2" s="118">
        <v>0</v>
      </c>
      <c r="P2" s="118">
        <v>15</v>
      </c>
      <c r="Q2" s="118">
        <v>0.48</v>
      </c>
      <c r="R2" s="118" t="s">
        <v>148</v>
      </c>
      <c r="S2" s="118">
        <v>0</v>
      </c>
      <c r="T2" s="118">
        <v>0</v>
      </c>
      <c r="U2" s="118">
        <v>0</v>
      </c>
      <c r="V2" s="118">
        <v>2.2000000000000002</v>
      </c>
      <c r="W2" s="118">
        <v>1</v>
      </c>
      <c r="X2" s="118" t="s">
        <v>149</v>
      </c>
      <c r="Y2" s="118">
        <v>0</v>
      </c>
      <c r="Z2" s="118" t="s">
        <v>150</v>
      </c>
      <c r="AA2" s="11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</vt:i4>
      </vt:variant>
    </vt:vector>
  </HeadingPairs>
  <TitlesOfParts>
    <vt:vector size="20" baseType="lpstr">
      <vt:lpstr>Aranceles</vt:lpstr>
      <vt:lpstr>Matriz</vt:lpstr>
      <vt:lpstr>Riel-2</vt:lpstr>
      <vt:lpstr>riel 1</vt:lpstr>
      <vt:lpstr>PUSH METALIZADO</vt:lpstr>
      <vt:lpstr>CERR-POMO 2</vt:lpstr>
      <vt:lpstr>ESPEJOS-2</vt:lpstr>
      <vt:lpstr>no borrar</vt:lpstr>
      <vt:lpstr>Aranceles</vt:lpstr>
      <vt:lpstr>'CERR-POMO 2'!Área_de_impresión</vt:lpstr>
      <vt:lpstr>'ESPEJOS-2'!Área_de_impresión</vt:lpstr>
      <vt:lpstr>Matriz!Área_de_impresión</vt:lpstr>
      <vt:lpstr>'riel 1'!Área_de_impresión</vt:lpstr>
      <vt:lpstr>'Riel-2'!Área_de_impresión</vt:lpstr>
      <vt:lpstr>'CERR-POMO 2'!Tasa_IVA</vt:lpstr>
      <vt:lpstr>'ESPEJOS-2'!Tasa_IVA</vt:lpstr>
      <vt:lpstr>'PUSH METALIZADO'!Tasa_IVA</vt:lpstr>
      <vt:lpstr>'riel 1'!Tasa_IVA</vt:lpstr>
      <vt:lpstr>'Riel-2'!Tasa_IVA</vt:lpstr>
      <vt:lpstr>Tasa_IVA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orlando macias bravo</dc:creator>
  <cp:lastModifiedBy>Billenniun</cp:lastModifiedBy>
  <cp:lastPrinted>2025-11-11T15:31:31Z</cp:lastPrinted>
  <dcterms:created xsi:type="dcterms:W3CDTF">2024-05-20T16:40:05Z</dcterms:created>
  <dcterms:modified xsi:type="dcterms:W3CDTF">2026-03-06T01:29:37Z</dcterms:modified>
</cp:coreProperties>
</file>